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Órdenes de Despacho" sheetId="2" state="visible" r:id="rId4"/>
    <sheet name="Inventario" sheetId="3" state="visible" r:id="rId5"/>
    <sheet name="Cortes" sheetId="4" state="visible" r:id="rId6"/>
    <sheet name="Precosteo Referencias" sheetId="5" state="visible" r:id="rId7"/>
    <sheet name="Orden de Corte (formato)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sistema</author>
  </authors>
  <commentList>
    <comment ref="O1" authorId="0">
      <text>
        <r>
          <rPr>
            <sz val="10"/>
            <rFont val="Arial"/>
            <family val="2"/>
          </rPr>
          <t xml:space="preserve">Lo genera el sistema (ROLLO-2026-000001).</t>
        </r>
      </text>
    </comment>
    <comment ref="P1" authorId="0">
      <text>
        <r>
          <rPr>
            <sz val="10"/>
            <rFont val="Arial"/>
            <family val="2"/>
          </rPr>
          <t xml:space="preserve">Lo genera el sistema (Code128) para la etiqueta.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conexión</author>
  </authors>
  <commentList>
    <comment ref="B1" authorId="0">
      <text>
        <r>
          <rPr>
            <sz val="10"/>
            <rFont val="Arial"/>
            <family val="2"/>
          </rPr>
          <t xml:space="preserve">Elige la tela por nombre (desplegable). Descuenta del Inventario.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sistema</author>
  </authors>
  <commentList>
    <comment ref="I1" authorId="0">
      <text>
        <r>
          <rPr>
            <sz val="10"/>
            <rFont val="Arial"/>
            <family val="2"/>
          </rPr>
          <t xml:space="preserve">Fórmula: tela+insumos+confección+lavandería</t>
        </r>
      </text>
    </comment>
    <comment ref="K1" authorId="0">
      <text>
        <r>
          <rPr>
            <sz val="10"/>
            <rFont val="Arial"/>
            <family val="2"/>
          </rPr>
          <t xml:space="preserve">Fórmula: precio_venta - costo_total</t>
        </r>
      </text>
    </comment>
    <comment ref="L1" authorId="0">
      <text>
        <r>
          <rPr>
            <sz val="10"/>
            <rFont val="Arial"/>
            <family val="2"/>
          </rPr>
          <t xml:space="preserve">Fórmula: margen_cop / precio_venta</t>
        </r>
      </text>
    </comment>
    <comment ref="N1" authorId="0">
      <text>
        <r>
          <rPr>
            <sz val="10"/>
            <rFont val="Arial"/>
            <family val="2"/>
          </rPr>
          <t xml:space="preserve">Lo llena el sistema al autorizar.</t>
        </r>
      </text>
    </comment>
  </commentList>
</comments>
</file>

<file path=xl/sharedStrings.xml><?xml version="1.0" encoding="utf-8"?>
<sst xmlns="http://schemas.openxmlformats.org/spreadsheetml/2006/main" count="173" uniqueCount="138">
  <si>
    <t xml:space="preserve">MALE'DENIM OS — Plantilla de Producción (Fase 1)</t>
  </si>
  <si>
    <t xml:space="preserve">Las hojas están conectadas con fórmulas para mostrar la mecánica del módulo.</t>
  </si>
  <si>
    <t xml:space="preserve">1) Órdenes de Despacho</t>
  </si>
  <si>
    <t xml:space="preserve">Transcribe la hoja de la textilera, un renglón por rollo. Columnas grises (código/barcode) las genera el sistema.</t>
  </si>
  <si>
    <t xml:space="preserve">2) Inventario</t>
  </si>
  <si>
    <t xml:space="preserve">Se arma SOLO: unifica por nombre de tela, cuenta rollos y muestra metros disponibles (recibidos − cortados). Tiene un desplegable para ver una tela y su nº de rollos.</t>
  </si>
  <si>
    <t xml:space="preserve">3) Cortes</t>
  </si>
  <si>
    <t xml:space="preserve">Al mandar a cortar eliges la tela POR NOMBRE (desplegable) y los metros; el Inventario se descuenta automáticamente.</t>
  </si>
  <si>
    <t xml:space="preserve">4) Precosteo Referencias</t>
  </si>
  <si>
    <t xml:space="preserve">Costeo de cada referencia de prenda. Se autoriza en la app; la firma se escribe de vuelta aquí.</t>
  </si>
  <si>
    <t xml:space="preserve">5) Orden de Corte (formato)</t>
  </si>
  <si>
    <t xml:space="preserve">El documento-formato que da luz verde al cortador (referencia, tela por nombre, rollos, indicaciones).</t>
  </si>
  <si>
    <t xml:space="preserve">Colores</t>
  </si>
  <si>
    <t xml:space="preserve">Encabezado azul</t>
  </si>
  <si>
    <t xml:space="preserve">Lo llenas tú.</t>
  </si>
  <si>
    <t xml:space="preserve">Encabezado gris</t>
  </si>
  <si>
    <t xml:space="preserve">Lo llena el sistema.</t>
  </si>
  <si>
    <t xml:space="preserve">Texto azul</t>
  </si>
  <si>
    <t xml:space="preserve">Ejemplos — bórralos antes de usar.</t>
  </si>
  <si>
    <t xml:space="preserve">Importante</t>
  </si>
  <si>
    <t xml:space="preserve">• En la app real el descuento es transaccional por rollo; aquí se demuestra con fórmulas por nombre de tela.</t>
  </si>
  <si>
    <t xml:space="preserve">• Si la textilera solo da el total (ej. Megatex), registra un renglón con el total.</t>
  </si>
  <si>
    <t xml:space="preserve">textilera</t>
  </si>
  <si>
    <t xml:space="preserve">numero_documento</t>
  </si>
  <si>
    <t xml:space="preserve">tipo_documento</t>
  </si>
  <si>
    <t xml:space="preserve">fecha</t>
  </si>
  <si>
    <t xml:space="preserve">orden_compra</t>
  </si>
  <si>
    <t xml:space="preserve">numero_rollo</t>
  </si>
  <si>
    <t xml:space="preserve">serial</t>
  </si>
  <si>
    <t xml:space="preserve">lote_fabrica</t>
  </si>
  <si>
    <t xml:space="preserve">tono</t>
  </si>
  <si>
    <t xml:space="preserve">referencia_tela</t>
  </si>
  <si>
    <t xml:space="preserve">descripcion_tela</t>
  </si>
  <si>
    <t xml:space="preserve">ancho_cm</t>
  </si>
  <si>
    <t xml:space="preserve">metros</t>
  </si>
  <si>
    <t xml:space="preserve">costo_metro_cop</t>
  </si>
  <si>
    <t xml:space="preserve">codigo_interno</t>
  </si>
  <si>
    <t xml:space="preserve">barcode</t>
  </si>
  <si>
    <t xml:space="preserve">Primatela</t>
  </si>
  <si>
    <t xml:space="preserve">7572901088</t>
  </si>
  <si>
    <t xml:space="preserve">remision</t>
  </si>
  <si>
    <t xml:space="preserve">2025-10-29</t>
  </si>
  <si>
    <t xml:space="preserve">OC-1042</t>
  </si>
  <si>
    <t xml:space="preserve">6000321268</t>
  </si>
  <si>
    <t xml:space="preserve">0001319184</t>
  </si>
  <si>
    <t xml:space="preserve">SANDDENIM-0009</t>
  </si>
  <si>
    <t xml:space="preserve">SANDDENIM</t>
  </si>
  <si>
    <t xml:space="preserve">150</t>
  </si>
  <si>
    <t xml:space="preserve">6000321251</t>
  </si>
  <si>
    <t xml:space="preserve">Contacto</t>
  </si>
  <si>
    <t xml:space="preserve">30-10002</t>
  </si>
  <si>
    <t xml:space="preserve">lista_empaque</t>
  </si>
  <si>
    <t xml:space="preserve">2026-06-19</t>
  </si>
  <si>
    <t xml:space="preserve">PF-4250</t>
  </si>
  <si>
    <t xml:space="preserve">654</t>
  </si>
  <si>
    <t xml:space="preserve">53242</t>
  </si>
  <si>
    <t xml:space="preserve">1</t>
  </si>
  <si>
    <t xml:space="preserve">A</t>
  </si>
  <si>
    <t xml:space="preserve">922020175</t>
  </si>
  <si>
    <t xml:space="preserve">FUNKY</t>
  </si>
  <si>
    <t xml:space="preserve">492</t>
  </si>
  <si>
    <t xml:space="preserve">53080</t>
  </si>
  <si>
    <t xml:space="preserve">Megatex</t>
  </si>
  <si>
    <t xml:space="preserve">FEMT16043</t>
  </si>
  <si>
    <t xml:space="preserve">factura</t>
  </si>
  <si>
    <t xml:space="preserve">2026-02-12</t>
  </si>
  <si>
    <t xml:space="preserve">0000</t>
  </si>
  <si>
    <t xml:space="preserve">TOTAL</t>
  </si>
  <si>
    <t xml:space="preserve">2600772</t>
  </si>
  <si>
    <t xml:space="preserve">BRUSELAS INDIGO 9.8oz</t>
  </si>
  <si>
    <t xml:space="preserve">INVENTARIO DE TELA — unificado por nombre</t>
  </si>
  <si>
    <t xml:space="preserve">Ver tela:</t>
  </si>
  <si>
    <t xml:space="preserve">Rollos:</t>
  </si>
  <si>
    <t xml:space="preserve">nombre_tela</t>
  </si>
  <si>
    <t xml:space="preserve">nro_rollos</t>
  </si>
  <si>
    <t xml:space="preserve">metros_recibidos</t>
  </si>
  <si>
    <t xml:space="preserve">metros_cortados</t>
  </si>
  <si>
    <t xml:space="preserve">metros_disponibles</t>
  </si>
  <si>
    <t xml:space="preserve">tela_nombre</t>
  </si>
  <si>
    <t xml:space="preserve">referencia_prenda</t>
  </si>
  <si>
    <t xml:space="preserve">metros_usados</t>
  </si>
  <si>
    <t xml:space="preserve">responsable</t>
  </si>
  <si>
    <t xml:space="preserve">2026-06-26</t>
  </si>
  <si>
    <t xml:space="preserve">REF-501</t>
  </si>
  <si>
    <t xml:space="preserve">Cortador 1</t>
  </si>
  <si>
    <t xml:space="preserve">codigo_referencia</t>
  </si>
  <si>
    <t xml:space="preserve">nombre</t>
  </si>
  <si>
    <t xml:space="preserve">consumo_tela_prenda_m</t>
  </si>
  <si>
    <t xml:space="preserve">costo_tela_cop</t>
  </si>
  <si>
    <t xml:space="preserve">detalle_insumos</t>
  </si>
  <si>
    <t xml:space="preserve">costo_insumos_cop</t>
  </si>
  <si>
    <t xml:space="preserve">costo_confeccion_cop</t>
  </si>
  <si>
    <t xml:space="preserve">costo_lavanderia_cop</t>
  </si>
  <si>
    <t xml:space="preserve">costo_total_prenda_cop</t>
  </si>
  <si>
    <t xml:space="preserve">precio_venta_cop</t>
  </si>
  <si>
    <t xml:space="preserve">margen_cop</t>
  </si>
  <si>
    <t xml:space="preserve">margen_pct</t>
  </si>
  <si>
    <t xml:space="preserve">foto_link_opcional</t>
  </si>
  <si>
    <t xml:space="preserve">estado_autorizacion</t>
  </si>
  <si>
    <t xml:space="preserve">autorizado_por</t>
  </si>
  <si>
    <t xml:space="preserve">fecha_autorizacion</t>
  </si>
  <si>
    <t xml:space="preserve">Jean Slim Indigo</t>
  </si>
  <si>
    <t xml:space="preserve">Botón, cremallera #4.5, hilo, marquilla</t>
  </si>
  <si>
    <t xml:space="preserve">REF-502</t>
  </si>
  <si>
    <t xml:space="preserve">Jean Recto Negro</t>
  </si>
  <si>
    <t xml:space="preserve">Botón, cremallera #5, hilo, etiqueta</t>
  </si>
  <si>
    <t xml:space="preserve">ORDEN DE CORTE · MALE'DENIM OS</t>
  </si>
  <si>
    <t xml:space="preserve">Documento que autoriza al cortador a iniciar (luz verde)</t>
  </si>
  <si>
    <t xml:space="preserve">Consecutivo</t>
  </si>
  <si>
    <t xml:space="preserve">Fecha</t>
  </si>
  <si>
    <t xml:space="preserve">Referencia (prenda)</t>
  </si>
  <si>
    <t xml:space="preserve">Tono</t>
  </si>
  <si>
    <t xml:space="preserve">Tela (nombre)</t>
  </si>
  <si>
    <t xml:space="preserve">Disponible (m)</t>
  </si>
  <si>
    <t xml:space="preserve">Responsable</t>
  </si>
  <si>
    <t xml:space="preserve">Fecha límite</t>
  </si>
  <si>
    <t xml:space="preserve">ROLLOS ASIGNADOS</t>
  </si>
  <si>
    <t xml:space="preserve">TRAZO Y TENDIDO</t>
  </si>
  <si>
    <t xml:space="preserve">Largo trazo (m)</t>
  </si>
  <si>
    <t xml:space="preserve">Nº capas</t>
  </si>
  <si>
    <t xml:space="preserve">Prendas por trazo</t>
  </si>
  <si>
    <t xml:space="preserve">Prendas estimadas</t>
  </si>
  <si>
    <t xml:space="preserve">Rend. teórico (m/prenda)</t>
  </si>
  <si>
    <t xml:space="preserve">Consumo real</t>
  </si>
  <si>
    <t xml:space="preserve">Diferencia %</t>
  </si>
  <si>
    <t xml:space="preserve">Merma (% o m)</t>
  </si>
  <si>
    <t xml:space="preserve">CURVA DE TALLAS</t>
  </si>
  <si>
    <t xml:space="preserve">4</t>
  </si>
  <si>
    <t xml:space="preserve">6</t>
  </si>
  <si>
    <t xml:space="preserve">8</t>
  </si>
  <si>
    <t xml:space="preserve">10</t>
  </si>
  <si>
    <t xml:space="preserve">12</t>
  </si>
  <si>
    <t xml:space="preserve">14</t>
  </si>
  <si>
    <t xml:space="preserve">16</t>
  </si>
  <si>
    <t xml:space="preserve">INDICACIONES AL CORTADOR</t>
  </si>
  <si>
    <t xml:space="preserve">(Sentido de la tela, defectos a evitar, notas de calidad, etc.)</t>
  </si>
  <si>
    <t xml:space="preserve">AUTORIZADO POR (firma)</t>
  </si>
  <si>
    <t xml:space="preserve">Estado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</si>
</sst>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#,##0.00"/>
    <numFmt numFmtId="167" formatCode="0"/>
    <numFmt numFmtId="168" formatCode="#,##0.0"/>
    <numFmt numFmtId="169" formatCode="0.0%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2E5A8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"/>
      <family val="2"/>
    </font>
    <font>
      <b val="true"/>
      <sz val="15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2"/>
      <color rgb="FF1E7A46"/>
      <name val="Arial"/>
      <family val="0"/>
      <charset val="1"/>
    </font>
    <font>
      <b val="true"/>
      <sz val="11"/>
      <color rgb="FF1E7A46"/>
      <name val="Arial"/>
      <family val="0"/>
      <charset val="1"/>
    </font>
    <font>
      <sz val="10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2E5A88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8A94A6"/>
        <bgColor rgb="FF808080"/>
      </patternFill>
    </fill>
    <fill>
      <patternFill patternType="solid">
        <fgColor rgb="FFEEF2F7"/>
        <bgColor rgb="FFFFFFFF"/>
      </patternFill>
    </fill>
    <fill>
      <patternFill patternType="solid">
        <fgColor rgb="FFFFF6CC"/>
        <bgColor rgb="FFEEF2F7"/>
      </patternFill>
    </fill>
    <fill>
      <patternFill patternType="solid">
        <fgColor rgb="FF2E5A88"/>
        <bgColor rgb="FF1F3A5F"/>
      </patternFill>
    </fill>
    <fill>
      <patternFill patternType="solid">
        <fgColor rgb="FFDCE5EF"/>
        <bgColor rgb="FFEEF2F7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8D0DA"/>
      </left>
      <right style="thin">
        <color rgb="FFC8D0DA"/>
      </right>
      <top style="thin">
        <color rgb="FFC8D0DA"/>
      </top>
      <bottom style="thin">
        <color rgb="FFC8D0DA"/>
      </bottom>
      <diagonal/>
    </border>
    <border diagonalUp="false" diagonalDown="false">
      <left style="thin">
        <color rgb="FFC8D0DA"/>
      </left>
      <right/>
      <top style="thin">
        <color rgb="FFC8D0DA"/>
      </top>
      <bottom/>
      <diagonal/>
    </border>
    <border diagonalUp="false" diagonalDown="false">
      <left style="thin">
        <color rgb="FFC8D0DA"/>
      </left>
      <right/>
      <top style="thin">
        <color rgb="FFC8D0DA"/>
      </top>
      <bottom style="thin">
        <color rgb="FFC8D0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A46"/>
      <rgbColor rgb="FFC0C0C0"/>
      <rgbColor rgb="FF808080"/>
      <rgbColor rgb="FF9999FF"/>
      <rgbColor rgb="FF993366"/>
      <rgbColor rgb="FFFFF6CC"/>
      <rgbColor rgb="FFEEF2F7"/>
      <rgbColor rgb="FF660066"/>
      <rgbColor rgb="FFFF8080"/>
      <rgbColor rgb="FF0066CC"/>
      <rgbColor rgb="FFC8D0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5E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8A94A6"/>
      <rgbColor rgb="FF1F3A5F"/>
      <rgbColor rgb="FF339966"/>
      <rgbColor rgb="FF003300"/>
      <rgbColor rgb="FF333300"/>
      <rgbColor rgb="FF993300"/>
      <rgbColor rgb="FF993366"/>
      <rgbColor rgb="FF2E5A8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88"/>
  </cols>
  <sheetData>
    <row r="1" customFormat="false" ht="19.7" hidden="false" customHeight="false" outlineLevel="0" collapsed="false">
      <c r="A1" s="1" t="s">
        <v>0</v>
      </c>
    </row>
    <row r="3" customFormat="false" ht="15" hidden="false" customHeight="false" outlineLevel="0" collapsed="false">
      <c r="A3" s="2"/>
      <c r="B3" s="3"/>
    </row>
    <row r="4" customFormat="false" ht="15" hidden="false" customHeight="false" outlineLevel="0" collapsed="false">
      <c r="A4" s="4" t="s">
        <v>1</v>
      </c>
      <c r="B4" s="3"/>
    </row>
    <row r="5" customFormat="false" ht="15" hidden="false" customHeight="false" outlineLevel="0" collapsed="false">
      <c r="A5" s="2"/>
      <c r="B5" s="3"/>
    </row>
    <row r="6" customFormat="false" ht="26.85" hidden="false" customHeight="false" outlineLevel="0" collapsed="false">
      <c r="A6" s="2" t="s">
        <v>2</v>
      </c>
      <c r="B6" s="3" t="s">
        <v>3</v>
      </c>
    </row>
    <row r="7" customFormat="false" ht="26.85" hidden="false" customHeight="false" outlineLevel="0" collapsed="false">
      <c r="A7" s="2" t="s">
        <v>4</v>
      </c>
      <c r="B7" s="3" t="s">
        <v>5</v>
      </c>
    </row>
    <row r="8" customFormat="false" ht="26.85" hidden="false" customHeight="false" outlineLevel="0" collapsed="false">
      <c r="A8" s="2" t="s">
        <v>6</v>
      </c>
      <c r="B8" s="3" t="s">
        <v>7</v>
      </c>
    </row>
    <row r="9" customFormat="false" ht="26.85" hidden="false" customHeight="false" outlineLevel="0" collapsed="false">
      <c r="A9" s="2" t="s">
        <v>8</v>
      </c>
      <c r="B9" s="3" t="s">
        <v>9</v>
      </c>
    </row>
    <row r="10" customFormat="false" ht="26.85" hidden="false" customHeight="false" outlineLevel="0" collapsed="false">
      <c r="A10" s="2" t="s">
        <v>10</v>
      </c>
      <c r="B10" s="3" t="s">
        <v>11</v>
      </c>
    </row>
    <row r="11" customFormat="false" ht="15" hidden="false" customHeight="false" outlineLevel="0" collapsed="false">
      <c r="A11" s="2"/>
      <c r="B11" s="3"/>
    </row>
    <row r="12" customFormat="false" ht="15" hidden="false" customHeight="false" outlineLevel="0" collapsed="false">
      <c r="A12" s="4" t="s">
        <v>12</v>
      </c>
      <c r="B12" s="3"/>
    </row>
    <row r="13" customFormat="false" ht="15" hidden="false" customHeight="false" outlineLevel="0" collapsed="false">
      <c r="A13" s="2" t="s">
        <v>13</v>
      </c>
      <c r="B13" s="3" t="s">
        <v>14</v>
      </c>
    </row>
    <row r="14" customFormat="false" ht="15" hidden="false" customHeight="false" outlineLevel="0" collapsed="false">
      <c r="A14" s="2" t="s">
        <v>15</v>
      </c>
      <c r="B14" s="3" t="s">
        <v>16</v>
      </c>
    </row>
    <row r="15" customFormat="false" ht="15" hidden="false" customHeight="false" outlineLevel="0" collapsed="false">
      <c r="A15" s="2" t="s">
        <v>17</v>
      </c>
      <c r="B15" s="3" t="s">
        <v>18</v>
      </c>
    </row>
    <row r="16" customFormat="false" ht="15" hidden="false" customHeight="false" outlineLevel="0" collapsed="false">
      <c r="A16" s="2"/>
      <c r="B16" s="3"/>
    </row>
    <row r="17" customFormat="false" ht="15" hidden="false" customHeight="false" outlineLevel="0" collapsed="false">
      <c r="A17" s="4" t="s">
        <v>19</v>
      </c>
      <c r="B17" s="3"/>
    </row>
    <row r="18" customFormat="false" ht="15" hidden="false" customHeight="false" outlineLevel="0" collapsed="false">
      <c r="A18" s="4" t="s">
        <v>20</v>
      </c>
      <c r="B18" s="3"/>
    </row>
    <row r="19" customFormat="false" ht="15" hidden="false" customHeight="false" outlineLevel="0" collapsed="false">
      <c r="A19" s="4" t="s">
        <v>21</v>
      </c>
      <c r="B19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7" min="7" style="0" width="9"/>
    <col collapsed="false" customWidth="true" hidden="false" outlineLevel="0" max="8" min="8" style="0" width="13"/>
    <col collapsed="false" customWidth="true" hidden="false" outlineLevel="0" max="9" min="9" style="0" width="6"/>
    <col collapsed="false" customWidth="true" hidden="false" outlineLevel="0" max="10" min="10" style="0" width="15"/>
    <col collapsed="false" customWidth="true" hidden="false" outlineLevel="0" max="11" min="11" style="0" width="22"/>
    <col collapsed="false" customWidth="true" hidden="false" outlineLevel="0" max="13" min="12" style="0" width="9"/>
    <col collapsed="false" customWidth="true" hidden="false" outlineLevel="0" max="14" min="14" style="0" width="14"/>
    <col collapsed="false" customWidth="true" hidden="false" outlineLevel="0" max="15" min="15" style="0" width="18"/>
    <col collapsed="false" customWidth="true" hidden="false" outlineLevel="0" max="16" min="16" style="0" width="15"/>
  </cols>
  <sheetData>
    <row r="1" customFormat="false" ht="31.5" hidden="false" customHeight="true" outlineLevel="0" collapsed="false">
      <c r="A1" s="5" t="s">
        <v>22</v>
      </c>
      <c r="B1" s="5" t="s">
        <v>23</v>
      </c>
      <c r="C1" s="5" t="s">
        <v>24</v>
      </c>
      <c r="D1" s="5" t="s">
        <v>25</v>
      </c>
      <c r="E1" s="5" t="s">
        <v>26</v>
      </c>
      <c r="F1" s="5" t="s">
        <v>27</v>
      </c>
      <c r="G1" s="5" t="s">
        <v>28</v>
      </c>
      <c r="H1" s="5" t="s">
        <v>29</v>
      </c>
      <c r="I1" s="5" t="s">
        <v>30</v>
      </c>
      <c r="J1" s="5" t="s">
        <v>31</v>
      </c>
      <c r="K1" s="5" t="s">
        <v>32</v>
      </c>
      <c r="L1" s="5" t="s">
        <v>33</v>
      </c>
      <c r="M1" s="5" t="s">
        <v>34</v>
      </c>
      <c r="N1" s="5" t="s">
        <v>35</v>
      </c>
      <c r="O1" s="6" t="s">
        <v>36</v>
      </c>
      <c r="P1" s="6" t="s">
        <v>37</v>
      </c>
    </row>
    <row r="2" customFormat="false" ht="15" hidden="false" customHeight="false" outlineLevel="0" collapsed="false">
      <c r="A2" s="7" t="s">
        <v>38</v>
      </c>
      <c r="B2" s="7" t="s">
        <v>39</v>
      </c>
      <c r="C2" s="7" t="s">
        <v>40</v>
      </c>
      <c r="D2" s="7" t="s">
        <v>41</v>
      </c>
      <c r="E2" s="7" t="s">
        <v>42</v>
      </c>
      <c r="F2" s="7" t="s">
        <v>43</v>
      </c>
      <c r="G2" s="7"/>
      <c r="H2" s="7" t="s">
        <v>44</v>
      </c>
      <c r="I2" s="7"/>
      <c r="J2" s="7" t="s">
        <v>45</v>
      </c>
      <c r="K2" s="7" t="s">
        <v>46</v>
      </c>
      <c r="L2" s="8" t="s">
        <v>47</v>
      </c>
      <c r="M2" s="9" t="n">
        <v>47.9</v>
      </c>
      <c r="N2" s="8" t="n">
        <v>9800</v>
      </c>
      <c r="O2" s="10"/>
      <c r="P2" s="10"/>
    </row>
    <row r="3" customFormat="false" ht="15" hidden="false" customHeight="false" outlineLevel="0" collapsed="false">
      <c r="A3" s="7" t="s">
        <v>38</v>
      </c>
      <c r="B3" s="7" t="s">
        <v>39</v>
      </c>
      <c r="C3" s="7" t="s">
        <v>40</v>
      </c>
      <c r="D3" s="7" t="s">
        <v>41</v>
      </c>
      <c r="E3" s="7" t="s">
        <v>42</v>
      </c>
      <c r="F3" s="7" t="s">
        <v>48</v>
      </c>
      <c r="G3" s="7"/>
      <c r="H3" s="7" t="s">
        <v>44</v>
      </c>
      <c r="I3" s="7"/>
      <c r="J3" s="7" t="s">
        <v>45</v>
      </c>
      <c r="K3" s="7" t="s">
        <v>46</v>
      </c>
      <c r="L3" s="8" t="s">
        <v>47</v>
      </c>
      <c r="M3" s="9" t="n">
        <v>51.1</v>
      </c>
      <c r="N3" s="8" t="n">
        <v>9800</v>
      </c>
      <c r="O3" s="10"/>
      <c r="P3" s="10"/>
    </row>
    <row r="4" customFormat="false" ht="15" hidden="false" customHeight="false" outlineLevel="0" collapsed="false">
      <c r="A4" s="7" t="s">
        <v>49</v>
      </c>
      <c r="B4" s="7" t="s">
        <v>50</v>
      </c>
      <c r="C4" s="7" t="s">
        <v>51</v>
      </c>
      <c r="D4" s="7" t="s">
        <v>52</v>
      </c>
      <c r="E4" s="7" t="s">
        <v>53</v>
      </c>
      <c r="F4" s="7" t="s">
        <v>54</v>
      </c>
      <c r="G4" s="7" t="s">
        <v>55</v>
      </c>
      <c r="H4" s="7" t="s">
        <v>56</v>
      </c>
      <c r="I4" s="7" t="s">
        <v>57</v>
      </c>
      <c r="J4" s="7" t="s">
        <v>58</v>
      </c>
      <c r="K4" s="7" t="s">
        <v>59</v>
      </c>
      <c r="L4" s="8" t="s">
        <v>47</v>
      </c>
      <c r="M4" s="9" t="n">
        <v>82</v>
      </c>
      <c r="N4" s="8" t="n">
        <v>12500</v>
      </c>
      <c r="O4" s="10"/>
      <c r="P4" s="10"/>
    </row>
    <row r="5" customFormat="false" ht="15" hidden="false" customHeight="false" outlineLevel="0" collapsed="false">
      <c r="A5" s="7" t="s">
        <v>49</v>
      </c>
      <c r="B5" s="7" t="s">
        <v>50</v>
      </c>
      <c r="C5" s="7" t="s">
        <v>51</v>
      </c>
      <c r="D5" s="7" t="s">
        <v>52</v>
      </c>
      <c r="E5" s="7" t="s">
        <v>53</v>
      </c>
      <c r="F5" s="7" t="s">
        <v>60</v>
      </c>
      <c r="G5" s="7" t="s">
        <v>61</v>
      </c>
      <c r="H5" s="7" t="s">
        <v>56</v>
      </c>
      <c r="I5" s="7" t="s">
        <v>57</v>
      </c>
      <c r="J5" s="7" t="s">
        <v>58</v>
      </c>
      <c r="K5" s="7" t="s">
        <v>59</v>
      </c>
      <c r="L5" s="8" t="s">
        <v>47</v>
      </c>
      <c r="M5" s="9" t="n">
        <v>80.1</v>
      </c>
      <c r="N5" s="8" t="n">
        <v>12500</v>
      </c>
      <c r="O5" s="10"/>
      <c r="P5" s="10"/>
    </row>
    <row r="6" customFormat="false" ht="15" hidden="false" customHeight="false" outlineLevel="0" collapsed="false">
      <c r="A6" s="7" t="s">
        <v>62</v>
      </c>
      <c r="B6" s="7" t="s">
        <v>63</v>
      </c>
      <c r="C6" s="7" t="s">
        <v>64</v>
      </c>
      <c r="D6" s="7" t="s">
        <v>65</v>
      </c>
      <c r="E6" s="7" t="s">
        <v>66</v>
      </c>
      <c r="F6" s="7" t="s">
        <v>67</v>
      </c>
      <c r="G6" s="7"/>
      <c r="H6" s="7"/>
      <c r="I6" s="7"/>
      <c r="J6" s="7" t="s">
        <v>68</v>
      </c>
      <c r="K6" s="7" t="s">
        <v>69</v>
      </c>
      <c r="L6" s="8" t="s">
        <v>47</v>
      </c>
      <c r="M6" s="9" t="n">
        <v>307.7</v>
      </c>
      <c r="N6" s="8" t="n">
        <v>16000</v>
      </c>
      <c r="O6" s="10"/>
      <c r="P6" s="10"/>
    </row>
  </sheetData>
  <dataValidations count="1">
    <dataValidation allowBlank="true" errorStyle="stop" operator="between" showDropDown="false" showErrorMessage="false" showInputMessage="false" sqref="C2:C1000" type="list">
      <formula1>"remision,factura,lista_empaque,consulta"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5"/>
    <col collapsed="false" customWidth="true" hidden="false" outlineLevel="0" max="5" min="5" style="0" width="17"/>
  </cols>
  <sheetData>
    <row r="1" customFormat="false" ht="30" hidden="false" customHeight="true" outlineLevel="0" collapsed="false">
      <c r="A1" s="11" t="s">
        <v>70</v>
      </c>
      <c r="B1" s="11"/>
      <c r="C1" s="11"/>
      <c r="D1" s="11"/>
      <c r="E1" s="11"/>
    </row>
    <row r="3" customFormat="false" ht="15" hidden="false" customHeight="false" outlineLevel="0" collapsed="false">
      <c r="A3" s="4" t="s">
        <v>71</v>
      </c>
      <c r="B3" s="12" t="s">
        <v>46</v>
      </c>
      <c r="C3" s="4" t="s">
        <v>72</v>
      </c>
      <c r="D3" s="13" t="n">
        <f aca="false">IFERROR(VLOOKUP(B3,$A$7:$E$20,2,0),0)</f>
        <v>2</v>
      </c>
      <c r="E3" s="14" t="str">
        <f aca="false">IFERROR("Disponible: "&amp;TEXT(VLOOKUP(B3,$A$7:$E$20,5,0),"#,##0.0")&amp;" m","")</f>
        <v>Disponible: 69.0 m</v>
      </c>
    </row>
    <row r="6" customFormat="false" ht="23.85" hidden="false" customHeight="false" outlineLevel="0" collapsed="false">
      <c r="A6" s="15" t="s">
        <v>73</v>
      </c>
      <c r="B6" s="15" t="s">
        <v>74</v>
      </c>
      <c r="C6" s="15" t="s">
        <v>75</v>
      </c>
      <c r="D6" s="15" t="s">
        <v>76</v>
      </c>
      <c r="E6" s="15" t="s">
        <v>77</v>
      </c>
    </row>
    <row r="7" customFormat="false" ht="15" hidden="false" customHeight="false" outlineLevel="0" collapsed="false">
      <c r="A7" s="7" t="s">
        <v>46</v>
      </c>
      <c r="B7" s="16" t="n">
        <f aca="false">IF($A7="","",COUNTIF('Órdenes de Despacho'!$K:$K,$A7))</f>
        <v>2</v>
      </c>
      <c r="C7" s="17" t="n">
        <f aca="false">IF($A7="","",SUMIF('Órdenes de Despacho'!$K:$K,$A7,'Órdenes de Despacho'!$M:$M))</f>
        <v>99</v>
      </c>
      <c r="D7" s="17" t="n">
        <f aca="false">IF($A7="","",SUMIF(Cortes!$B:$B,$A7,Cortes!$D:$D))</f>
        <v>30</v>
      </c>
      <c r="E7" s="17" t="n">
        <f aca="false">IF($A7="","",$C7-$D7)</f>
        <v>69</v>
      </c>
    </row>
    <row r="8" customFormat="false" ht="15" hidden="false" customHeight="false" outlineLevel="0" collapsed="false">
      <c r="A8" s="7" t="s">
        <v>59</v>
      </c>
      <c r="B8" s="16" t="n">
        <f aca="false">IF($A8="","",COUNTIF('Órdenes de Despacho'!$K:$K,$A8))</f>
        <v>2</v>
      </c>
      <c r="C8" s="17" t="n">
        <f aca="false">IF($A8="","",SUMIF('Órdenes de Despacho'!$K:$K,$A8,'Órdenes de Despacho'!$M:$M))</f>
        <v>162.1</v>
      </c>
      <c r="D8" s="17" t="n">
        <f aca="false">IF($A8="","",SUMIF(Cortes!$B:$B,$A8,Cortes!$D:$D))</f>
        <v>0</v>
      </c>
      <c r="E8" s="17" t="n">
        <f aca="false">IF($A8="","",$C8-$D8)</f>
        <v>162.1</v>
      </c>
    </row>
    <row r="9" customFormat="false" ht="15" hidden="false" customHeight="false" outlineLevel="0" collapsed="false">
      <c r="A9" s="7" t="s">
        <v>69</v>
      </c>
      <c r="B9" s="16" t="n">
        <f aca="false">IF($A9="","",COUNTIF('Órdenes de Despacho'!$K:$K,$A9))</f>
        <v>1</v>
      </c>
      <c r="C9" s="17" t="n">
        <f aca="false">IF($A9="","",SUMIF('Órdenes de Despacho'!$K:$K,$A9,'Órdenes de Despacho'!$M:$M))</f>
        <v>307.7</v>
      </c>
      <c r="D9" s="17" t="n">
        <f aca="false">IF($A9="","",SUMIF(Cortes!$B:$B,$A9,Cortes!$D:$D))</f>
        <v>0</v>
      </c>
      <c r="E9" s="17" t="n">
        <f aca="false">IF($A9="","",$C9-$D9)</f>
        <v>307.7</v>
      </c>
    </row>
    <row r="10" customFormat="false" ht="15" hidden="false" customHeight="false" outlineLevel="0" collapsed="false">
      <c r="A10" s="7"/>
      <c r="B10" s="16" t="str">
        <f aca="false">IF($A10="","",COUNTIF('Órdenes de Despacho'!$K:$K,$A10))</f>
        <v/>
      </c>
      <c r="C10" s="17" t="str">
        <f aca="false">IF($A10="","",SUMIF('Órdenes de Despacho'!$K:$K,$A10,'Órdenes de Despacho'!$M:$M))</f>
        <v/>
      </c>
      <c r="D10" s="17" t="str">
        <f aca="false">IF($A10="","",SUMIF(Cortes!$B:$B,$A10,Cortes!$D:$D))</f>
        <v/>
      </c>
      <c r="E10" s="17" t="str">
        <f aca="false">IF($A10="","",$C10-$D10)</f>
        <v/>
      </c>
    </row>
    <row r="11" customFormat="false" ht="15" hidden="false" customHeight="false" outlineLevel="0" collapsed="false">
      <c r="A11" s="7"/>
      <c r="B11" s="16" t="str">
        <f aca="false">IF($A11="","",COUNTIF('Órdenes de Despacho'!$K:$K,$A11))</f>
        <v/>
      </c>
      <c r="C11" s="17" t="str">
        <f aca="false">IF($A11="","",SUMIF('Órdenes de Despacho'!$K:$K,$A11,'Órdenes de Despacho'!$M:$M))</f>
        <v/>
      </c>
      <c r="D11" s="17" t="str">
        <f aca="false">IF($A11="","",SUMIF(Cortes!$B:$B,$A11,Cortes!$D:$D))</f>
        <v/>
      </c>
      <c r="E11" s="17" t="str">
        <f aca="false">IF($A11="","",$C11-$D11)</f>
        <v/>
      </c>
    </row>
  </sheetData>
  <mergeCells count="1">
    <mergeCell ref="A1:E1"/>
  </mergeCells>
  <dataValidations count="1">
    <dataValidation allowBlank="true" errorStyle="stop" operator="between" showDropDown="false" showErrorMessage="false" showInputMessage="false" sqref="B3" type="list">
      <formula1>Inventario!$A$7:$A$11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8"/>
    <col collapsed="false" customWidth="true" hidden="false" outlineLevel="0" max="6" min="6" style="0" width="16"/>
  </cols>
  <sheetData>
    <row r="1" customFormat="false" ht="31.5" hidden="false" customHeight="true" outlineLevel="0" collapsed="false">
      <c r="A1" s="5" t="s">
        <v>25</v>
      </c>
      <c r="B1" s="5" t="s">
        <v>78</v>
      </c>
      <c r="C1" s="5" t="s">
        <v>79</v>
      </c>
      <c r="D1" s="5" t="s">
        <v>80</v>
      </c>
      <c r="E1" s="5" t="s">
        <v>30</v>
      </c>
      <c r="F1" s="5" t="s">
        <v>81</v>
      </c>
    </row>
    <row r="2" customFormat="false" ht="15" hidden="false" customHeight="false" outlineLevel="0" collapsed="false">
      <c r="A2" s="7" t="s">
        <v>82</v>
      </c>
      <c r="B2" s="7" t="s">
        <v>46</v>
      </c>
      <c r="C2" s="7" t="s">
        <v>83</v>
      </c>
      <c r="D2" s="18" t="n">
        <v>30</v>
      </c>
      <c r="E2" s="7"/>
      <c r="F2" s="7" t="s">
        <v>84</v>
      </c>
    </row>
    <row r="3" customFormat="false" ht="15" hidden="false" customHeight="false" outlineLevel="0" collapsed="false">
      <c r="A3" s="7"/>
      <c r="B3" s="7"/>
      <c r="C3" s="7"/>
      <c r="D3" s="18"/>
      <c r="E3" s="7"/>
      <c r="F3" s="7"/>
    </row>
    <row r="4" customFormat="false" ht="15" hidden="false" customHeight="false" outlineLevel="0" collapsed="false">
      <c r="A4" s="7"/>
      <c r="B4" s="7"/>
      <c r="C4" s="7"/>
      <c r="D4" s="18"/>
      <c r="E4" s="7"/>
      <c r="F4" s="7"/>
    </row>
    <row r="5" customFormat="false" ht="15" hidden="false" customHeight="false" outlineLevel="0" collapsed="false">
      <c r="A5" s="7"/>
      <c r="B5" s="7"/>
      <c r="C5" s="7"/>
      <c r="D5" s="18"/>
      <c r="E5" s="7"/>
      <c r="F5" s="7"/>
    </row>
    <row r="6" customFormat="false" ht="15" hidden="false" customHeight="false" outlineLevel="0" collapsed="false">
      <c r="A6" s="7"/>
      <c r="B6" s="7"/>
      <c r="C6" s="7"/>
      <c r="D6" s="18"/>
      <c r="E6" s="7"/>
      <c r="F6" s="7"/>
    </row>
    <row r="7" customFormat="false" ht="15" hidden="false" customHeight="false" outlineLevel="0" collapsed="false">
      <c r="A7" s="7"/>
      <c r="B7" s="7"/>
      <c r="C7" s="7"/>
      <c r="D7" s="18"/>
      <c r="E7" s="7"/>
      <c r="F7" s="7"/>
    </row>
    <row r="8" customFormat="false" ht="15" hidden="false" customHeight="false" outlineLevel="0" collapsed="false">
      <c r="A8" s="7"/>
      <c r="B8" s="7"/>
      <c r="C8" s="7"/>
      <c r="D8" s="18"/>
      <c r="E8" s="7"/>
      <c r="F8" s="7"/>
    </row>
    <row r="9" customFormat="false" ht="15" hidden="false" customHeight="false" outlineLevel="0" collapsed="false">
      <c r="A9" s="7"/>
      <c r="B9" s="7"/>
      <c r="C9" s="7"/>
      <c r="D9" s="18"/>
      <c r="E9" s="7"/>
      <c r="F9" s="7"/>
    </row>
    <row r="10" customFormat="false" ht="15" hidden="false" customHeight="false" outlineLevel="0" collapsed="false">
      <c r="A10" s="7"/>
      <c r="B10" s="7"/>
      <c r="C10" s="7"/>
      <c r="D10" s="18"/>
      <c r="E10" s="7"/>
      <c r="F10" s="7"/>
    </row>
    <row r="11" customFormat="false" ht="15" hidden="false" customHeight="false" outlineLevel="0" collapsed="false">
      <c r="A11" s="7"/>
      <c r="B11" s="7"/>
      <c r="C11" s="7"/>
      <c r="D11" s="18"/>
      <c r="E11" s="7"/>
      <c r="F11" s="7"/>
    </row>
  </sheetData>
  <dataValidations count="1">
    <dataValidation allowBlank="true" errorStyle="stop" operator="between" showDropDown="false" showErrorMessage="false" showInputMessage="false" sqref="B2:B500" type="list">
      <formula1>Inventario!$A$7:$A$11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34"/>
    <col collapsed="false" customWidth="true" hidden="false" outlineLevel="0" max="6" min="6" style="0" width="14"/>
    <col collapsed="false" customWidth="true" hidden="false" outlineLevel="0" max="8" min="7" style="0" width="16"/>
    <col collapsed="false" customWidth="true" hidden="false" outlineLevel="0" max="9" min="9" style="0" width="17"/>
    <col collapsed="false" customWidth="true" hidden="false" outlineLevel="0" max="10" min="10" style="0" width="14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20"/>
    <col collapsed="false" customWidth="true" hidden="false" outlineLevel="0" max="14" min="14" style="0" width="17"/>
    <col collapsed="false" customWidth="true" hidden="false" outlineLevel="0" max="15" min="15" style="0" width="16"/>
    <col collapsed="false" customWidth="true" hidden="false" outlineLevel="0" max="16" min="16" style="0" width="17"/>
  </cols>
  <sheetData>
    <row r="1" customFormat="false" ht="31.5" hidden="false" customHeight="true" outlineLevel="0" collapsed="false">
      <c r="A1" s="5" t="s">
        <v>85</v>
      </c>
      <c r="B1" s="5" t="s">
        <v>86</v>
      </c>
      <c r="C1" s="5" t="s">
        <v>87</v>
      </c>
      <c r="D1" s="5" t="s">
        <v>88</v>
      </c>
      <c r="E1" s="5" t="s">
        <v>89</v>
      </c>
      <c r="F1" s="5" t="s">
        <v>90</v>
      </c>
      <c r="G1" s="5" t="s">
        <v>91</v>
      </c>
      <c r="H1" s="5" t="s">
        <v>92</v>
      </c>
      <c r="I1" s="5" t="s">
        <v>93</v>
      </c>
      <c r="J1" s="5" t="s">
        <v>94</v>
      </c>
      <c r="K1" s="5" t="s">
        <v>95</v>
      </c>
      <c r="L1" s="5" t="s">
        <v>96</v>
      </c>
      <c r="M1" s="5" t="s">
        <v>97</v>
      </c>
      <c r="N1" s="6" t="s">
        <v>98</v>
      </c>
      <c r="O1" s="6" t="s">
        <v>99</v>
      </c>
      <c r="P1" s="6" t="s">
        <v>100</v>
      </c>
    </row>
    <row r="2" customFormat="false" ht="15" hidden="false" customHeight="false" outlineLevel="0" collapsed="false">
      <c r="A2" s="7" t="s">
        <v>83</v>
      </c>
      <c r="B2" s="7" t="s">
        <v>101</v>
      </c>
      <c r="C2" s="9" t="n">
        <v>1.35</v>
      </c>
      <c r="D2" s="8" t="n">
        <v>13230</v>
      </c>
      <c r="E2" s="7" t="s">
        <v>102</v>
      </c>
      <c r="F2" s="8" t="n">
        <v>2800</v>
      </c>
      <c r="G2" s="8" t="n">
        <v>14000</v>
      </c>
      <c r="H2" s="8" t="n">
        <v>6500</v>
      </c>
      <c r="I2" s="19" t="n">
        <f aca="false">SUM(D2,F2,G2,H2)</f>
        <v>36530</v>
      </c>
      <c r="J2" s="8" t="n">
        <v>89900</v>
      </c>
      <c r="K2" s="19" t="n">
        <f aca="false">J2-I2</f>
        <v>53370</v>
      </c>
      <c r="L2" s="20" t="n">
        <f aca="false">IF(J2=0,0,K2/J2)</f>
        <v>0.593659621802002</v>
      </c>
      <c r="M2" s="7"/>
      <c r="N2" s="10"/>
      <c r="O2" s="10"/>
      <c r="P2" s="10"/>
    </row>
    <row r="3" customFormat="false" ht="15" hidden="false" customHeight="false" outlineLevel="0" collapsed="false">
      <c r="A3" s="7" t="s">
        <v>103</v>
      </c>
      <c r="B3" s="7" t="s">
        <v>104</v>
      </c>
      <c r="C3" s="9" t="n">
        <v>1.45</v>
      </c>
      <c r="D3" s="8" t="n">
        <v>16240</v>
      </c>
      <c r="E3" s="7" t="s">
        <v>105</v>
      </c>
      <c r="F3" s="8" t="n">
        <v>3100</v>
      </c>
      <c r="G3" s="8" t="n">
        <v>15000</v>
      </c>
      <c r="H3" s="8" t="n">
        <v>7000</v>
      </c>
      <c r="I3" s="19" t="n">
        <f aca="false">SUM(D3,F3,G3,H3)</f>
        <v>41340</v>
      </c>
      <c r="J3" s="8" t="n">
        <v>99900</v>
      </c>
      <c r="K3" s="19" t="n">
        <f aca="false">J3-I3</f>
        <v>58560</v>
      </c>
      <c r="L3" s="20" t="n">
        <f aca="false">IF(J3=0,0,K3/J3)</f>
        <v>0.586186186186186</v>
      </c>
      <c r="M3" s="7"/>
      <c r="N3" s="10"/>
      <c r="O3" s="10"/>
      <c r="P3" s="10"/>
    </row>
  </sheetData>
  <dataValidations count="1">
    <dataValidation allowBlank="true" errorStyle="stop" operator="between" showDropDown="false" showErrorMessage="false" showInputMessage="false" sqref="N2:N500" type="list">
      <formula1>"borrador,autorizada"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0"/>
    <col collapsed="false" customWidth="true" hidden="false" outlineLevel="0" max="6" min="3" style="0" width="16"/>
  </cols>
  <sheetData>
    <row r="1" customFormat="false" ht="33.75" hidden="false" customHeight="true" outlineLevel="0" collapsed="false">
      <c r="A1" s="21" t="s">
        <v>106</v>
      </c>
      <c r="B1" s="21"/>
      <c r="C1" s="21"/>
      <c r="D1" s="21"/>
      <c r="E1" s="21"/>
      <c r="F1" s="21"/>
    </row>
    <row r="2" customFormat="false" ht="15" hidden="false" customHeight="false" outlineLevel="0" collapsed="false">
      <c r="A2" s="22" t="s">
        <v>107</v>
      </c>
      <c r="B2" s="22"/>
      <c r="C2" s="22"/>
      <c r="D2" s="22"/>
      <c r="E2" s="22"/>
      <c r="F2" s="22"/>
    </row>
    <row r="4" customFormat="false" ht="19.5" hidden="false" customHeight="true" outlineLevel="0" collapsed="false">
      <c r="A4" s="23" t="s">
        <v>108</v>
      </c>
      <c r="B4" s="7"/>
      <c r="C4" s="23" t="s">
        <v>109</v>
      </c>
      <c r="D4" s="7"/>
    </row>
    <row r="5" customFormat="false" ht="19.5" hidden="false" customHeight="true" outlineLevel="0" collapsed="false">
      <c r="A5" s="23" t="s">
        <v>110</v>
      </c>
      <c r="B5" s="7"/>
      <c r="C5" s="23" t="s">
        <v>111</v>
      </c>
      <c r="D5" s="7"/>
    </row>
    <row r="6" customFormat="false" ht="19.5" hidden="false" customHeight="true" outlineLevel="0" collapsed="false">
      <c r="A6" s="23" t="s">
        <v>112</v>
      </c>
      <c r="B6" s="24" t="s">
        <v>46</v>
      </c>
      <c r="C6" s="23" t="s">
        <v>113</v>
      </c>
      <c r="D6" s="25" t="n">
        <f aca="false">IFERROR(VLOOKUP(B6,Inventario!$A$7:$E$20,5,0),0)</f>
        <v>69</v>
      </c>
    </row>
    <row r="7" customFormat="false" ht="19.5" hidden="false" customHeight="true" outlineLevel="0" collapsed="false">
      <c r="A7" s="23" t="s">
        <v>114</v>
      </c>
      <c r="B7" s="7"/>
      <c r="C7" s="23" t="s">
        <v>115</v>
      </c>
      <c r="D7" s="7"/>
    </row>
    <row r="8" customFormat="false" ht="19.5" hidden="false" customHeight="true" outlineLevel="0" collapsed="false"/>
    <row r="9" customFormat="false" ht="19.5" hidden="false" customHeight="true" outlineLevel="0" collapsed="false">
      <c r="A9" s="26" t="s">
        <v>116</v>
      </c>
    </row>
    <row r="10" customFormat="false" ht="19.5" hidden="false" customHeight="true" outlineLevel="0" collapsed="false">
      <c r="A10" s="27" t="s">
        <v>36</v>
      </c>
      <c r="B10" s="27" t="s">
        <v>27</v>
      </c>
      <c r="C10" s="27" t="s">
        <v>29</v>
      </c>
      <c r="D10" s="27" t="s">
        <v>30</v>
      </c>
      <c r="E10" s="27" t="s">
        <v>80</v>
      </c>
    </row>
    <row r="11" customFormat="false" ht="19.5" hidden="false" customHeight="true" outlineLevel="0" collapsed="false">
      <c r="A11" s="28"/>
      <c r="B11" s="28"/>
      <c r="C11" s="28"/>
      <c r="D11" s="28"/>
      <c r="E11" s="28"/>
    </row>
    <row r="12" customFormat="false" ht="19.5" hidden="false" customHeight="true" outlineLevel="0" collapsed="false">
      <c r="A12" s="28"/>
      <c r="B12" s="28"/>
      <c r="C12" s="28"/>
      <c r="D12" s="28"/>
      <c r="E12" s="28"/>
    </row>
    <row r="13" customFormat="false" ht="19.5" hidden="false" customHeight="true" outlineLevel="0" collapsed="false">
      <c r="A13" s="28"/>
      <c r="B13" s="28"/>
      <c r="C13" s="28"/>
      <c r="D13" s="28"/>
      <c r="E13" s="28"/>
    </row>
    <row r="14" customFormat="false" ht="19.5" hidden="false" customHeight="true" outlineLevel="0" collapsed="false">
      <c r="A14" s="28"/>
      <c r="B14" s="28"/>
      <c r="C14" s="28"/>
      <c r="D14" s="28"/>
      <c r="E14" s="28"/>
    </row>
    <row r="15" customFormat="false" ht="19.5" hidden="false" customHeight="true" outlineLevel="0" collapsed="false"/>
    <row r="16" customFormat="false" ht="19.5" hidden="false" customHeight="true" outlineLevel="0" collapsed="false">
      <c r="A16" s="26" t="s">
        <v>117</v>
      </c>
    </row>
    <row r="17" customFormat="false" ht="19.5" hidden="false" customHeight="true" outlineLevel="0" collapsed="false">
      <c r="A17" s="23" t="s">
        <v>118</v>
      </c>
      <c r="B17" s="7"/>
      <c r="C17" s="23" t="s">
        <v>119</v>
      </c>
      <c r="D17" s="7"/>
    </row>
    <row r="18" customFormat="false" ht="19.5" hidden="false" customHeight="true" outlineLevel="0" collapsed="false">
      <c r="A18" s="23" t="s">
        <v>120</v>
      </c>
      <c r="B18" s="7"/>
      <c r="C18" s="23" t="s">
        <v>121</v>
      </c>
      <c r="D18" s="7"/>
    </row>
    <row r="19" customFormat="false" ht="19.5" hidden="false" customHeight="true" outlineLevel="0" collapsed="false">
      <c r="A19" s="23" t="s">
        <v>122</v>
      </c>
      <c r="B19" s="7"/>
      <c r="C19" s="23" t="s">
        <v>123</v>
      </c>
      <c r="D19" s="7"/>
    </row>
    <row r="20" customFormat="false" ht="19.5" hidden="false" customHeight="true" outlineLevel="0" collapsed="false">
      <c r="A20" s="23" t="s">
        <v>124</v>
      </c>
      <c r="B20" s="7"/>
      <c r="C20" s="23" t="s">
        <v>125</v>
      </c>
      <c r="D20" s="7"/>
    </row>
    <row r="21" customFormat="false" ht="19.5" hidden="false" customHeight="true" outlineLevel="0" collapsed="false"/>
    <row r="22" customFormat="false" ht="19.5" hidden="false" customHeight="true" outlineLevel="0" collapsed="false">
      <c r="A22" s="26" t="s">
        <v>126</v>
      </c>
    </row>
    <row r="23" customFormat="false" ht="19.5" hidden="false" customHeight="true" outlineLevel="0" collapsed="false">
      <c r="A23" s="27" t="s">
        <v>127</v>
      </c>
      <c r="B23" s="27" t="s">
        <v>128</v>
      </c>
      <c r="C23" s="27" t="s">
        <v>129</v>
      </c>
      <c r="D23" s="27" t="s">
        <v>130</v>
      </c>
      <c r="E23" s="27" t="s">
        <v>131</v>
      </c>
      <c r="F23" s="27" t="s">
        <v>132</v>
      </c>
      <c r="G23" s="27" t="s">
        <v>133</v>
      </c>
    </row>
    <row r="24" customFormat="false" ht="19.5" hidden="false" customHeight="true" outlineLevel="0" collapsed="false">
      <c r="A24" s="29"/>
      <c r="B24" s="29"/>
      <c r="C24" s="29"/>
      <c r="D24" s="29"/>
      <c r="E24" s="29"/>
      <c r="F24" s="29"/>
      <c r="G24" s="29"/>
    </row>
    <row r="25" customFormat="false" ht="19.5" hidden="false" customHeight="true" outlineLevel="0" collapsed="false"/>
    <row r="26" customFormat="false" ht="19.5" hidden="false" customHeight="true" outlineLevel="0" collapsed="false">
      <c r="A26" s="26" t="s">
        <v>134</v>
      </c>
    </row>
    <row r="27" customFormat="false" ht="19.5" hidden="false" customHeight="true" outlineLevel="0" collapsed="false">
      <c r="A27" s="30" t="s">
        <v>135</v>
      </c>
      <c r="B27" s="30"/>
      <c r="C27" s="30"/>
      <c r="D27" s="30"/>
      <c r="E27" s="30"/>
      <c r="F27" s="30"/>
    </row>
    <row r="28" customFormat="false" ht="19.5" hidden="false" customHeight="true" outlineLevel="0" collapsed="false">
      <c r="A28" s="30"/>
      <c r="B28" s="30"/>
      <c r="C28" s="30"/>
      <c r="D28" s="30"/>
      <c r="E28" s="30"/>
      <c r="F28" s="30"/>
    </row>
    <row r="29" customFormat="false" ht="19.5" hidden="false" customHeight="true" outlineLevel="0" collapsed="false">
      <c r="A29" s="30"/>
      <c r="B29" s="30"/>
      <c r="C29" s="30"/>
      <c r="D29" s="30"/>
      <c r="E29" s="30"/>
      <c r="F29" s="30"/>
    </row>
    <row r="30" customFormat="false" ht="19.5" hidden="false" customHeight="true" outlineLevel="0" collapsed="false"/>
    <row r="31" customFormat="false" ht="19.5" hidden="false" customHeight="true" outlineLevel="0" collapsed="false">
      <c r="A31" s="23" t="s">
        <v>136</v>
      </c>
      <c r="B31" s="31"/>
      <c r="C31" s="31"/>
      <c r="D31" s="23" t="s">
        <v>137</v>
      </c>
      <c r="E31" s="7"/>
    </row>
  </sheetData>
  <mergeCells count="4">
    <mergeCell ref="A1:F1"/>
    <mergeCell ref="A2:F2"/>
    <mergeCell ref="A27:F29"/>
    <mergeCell ref="B31:C31"/>
  </mergeCells>
  <dataValidations count="2">
    <dataValidation allowBlank="true" errorStyle="stop" operator="between" showDropDown="false" showErrorMessage="false" showInputMessage="false" sqref="B6" type="list">
      <formula1>Inventario!$A$7:$A$11</formula1>
      <formula2>0</formula2>
    </dataValidation>
    <dataValidation allowBlank="true" errorStyle="stop" operator="between" showDropDown="false" showErrorMessage="false" showInputMessage="false" sqref="E31" type="list">
      <formula1>"borrador,autorizada,en_proceso,cortada"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2026-06-27T01:24:11Z</dcterms:created>
  <dc:creator>openpyxl</dc:creator>
  <dc:description/>
  <dc:language>en-US</dc:language>
  <cp:lastModifiedBy/>
  <dcterms:modified xsi:type="dcterms:W3CDTF">2026-06-27T01:24:11Z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