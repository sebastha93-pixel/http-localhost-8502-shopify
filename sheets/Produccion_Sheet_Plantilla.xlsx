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Órdenes de Ingreso" sheetId="2" state="visible" r:id="rId4"/>
    <sheet name="Inventario" sheetId="3" state="visible" r:id="rId5"/>
    <sheet name="Cortes" sheetId="4" state="visible" r:id="rId6"/>
    <sheet name="Precosteo (formato)" sheetId="5" state="visible" r:id="rId7"/>
    <sheet name="Histórico Precosteo" sheetId="6" state="visible" r:id="rId8"/>
    <sheet name="Histórico Cortes" sheetId="7" state="visible" r:id="rId9"/>
    <sheet name="Orden de Corte (formato)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sistema</author>
  </authors>
  <commentList>
    <comment ref="O1" authorId="0">
      <text>
        <r>
          <rPr>
            <sz val="10"/>
            <rFont val="Arial"/>
            <family val="2"/>
          </rPr>
          <t xml:space="preserve">Lo genera el sistema (ROLLO-2026-000001).</t>
        </r>
      </text>
    </comment>
    <comment ref="P1" authorId="0">
      <text>
        <r>
          <rPr>
            <sz val="10"/>
            <rFont val="Arial"/>
            <family val="2"/>
          </rPr>
          <t xml:space="preserve">Lo genera el sistema (Code128).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conexión</author>
  </authors>
  <commentList>
    <comment ref="B1" authorId="0">
      <text>
        <r>
          <rPr>
            <sz val="10"/>
            <rFont val="Arial"/>
            <family val="2"/>
          </rPr>
          <t xml:space="preserve">Elige la tela por nombre (desplegable). Descuenta del Inventario.</t>
        </r>
      </text>
    </comment>
  </commentList>
</comments>
</file>

<file path=xl/sharedStrings.xml><?xml version="1.0" encoding="utf-8"?>
<sst xmlns="http://schemas.openxmlformats.org/spreadsheetml/2006/main" count="229" uniqueCount="182">
  <si>
    <t xml:space="preserve">Plantilla de Producción — Fase 1</t>
  </si>
  <si>
    <t xml:space="preserve">Hojas conectadas con fórmulas para mostrar la mecánica del módulo.</t>
  </si>
  <si>
    <t xml:space="preserve">1) Órdenes de Ingreso</t>
  </si>
  <si>
    <t xml:space="preserve">Transcribe la hoja de la textilera, un renglón por rollo. Columnas en azul acero (código/barcode) las genera el sistema.</t>
  </si>
  <si>
    <t xml:space="preserve">2) Inventario</t>
  </si>
  <si>
    <t xml:space="preserve">Se arma solo: unifica por nombre de tela, cuenta rollos y muestra metros disponibles (recibidos − cortados). Desplegable para ver una tela.</t>
  </si>
  <si>
    <t xml:space="preserve">3) Cortes</t>
  </si>
  <si>
    <t xml:space="preserve">Eliges la tela POR NOMBRE (desplegable) y los metros; el Inventario se descuenta solo.</t>
  </si>
  <si>
    <t xml:space="preserve">4) Precosteo (formato)</t>
  </si>
  <si>
    <t xml:space="preserve">Espejo de tu formato: líneas por categoría con IVA, costo total y precio sugerido (con IVA). Al firmar se archiva en Histórico y se limpia.</t>
  </si>
  <si>
    <t xml:space="preserve">5) Histórico Precosteo</t>
  </si>
  <si>
    <t xml:space="preserve">Donde quedan archivados los precosteos firmados.</t>
  </si>
  <si>
    <t xml:space="preserve">6) Orden de Corte (formato)</t>
  </si>
  <si>
    <t xml:space="preserve">Documento que da luz verde al cortador.</t>
  </si>
  <si>
    <t xml:space="preserve">Marca</t>
  </si>
  <si>
    <t xml:space="preserve">Colores</t>
  </si>
  <si>
    <t xml:space="preserve">DEEP INK #213033 · GRAPHITE #606060 · STEEL BLUE #87A6B8 · SOFT CONCRETE #E1E1DF · acentos cream/teal.</t>
  </si>
  <si>
    <t xml:space="preserve">Tipografía</t>
  </si>
  <si>
    <t xml:space="preserve">Montserrat (equivalente de Gotham). Texto editable en azul #0C457A.</t>
  </si>
  <si>
    <t xml:space="preserve">Textilera</t>
  </si>
  <si>
    <t xml:space="preserve">N° documento</t>
  </si>
  <si>
    <t xml:space="preserve">Tipo documento</t>
  </si>
  <si>
    <t xml:space="preserve">Fecha</t>
  </si>
  <si>
    <t xml:space="preserve">Orden de compra</t>
  </si>
  <si>
    <t xml:space="preserve">N° rollo</t>
  </si>
  <si>
    <t xml:space="preserve">Serial</t>
  </si>
  <si>
    <t xml:space="preserve">Lote fábrica</t>
  </si>
  <si>
    <t xml:space="preserve">Tono</t>
  </si>
  <si>
    <t xml:space="preserve">Referencia tela</t>
  </si>
  <si>
    <t xml:space="preserve">Descripción tela</t>
  </si>
  <si>
    <t xml:space="preserve">Ancho (cm)</t>
  </si>
  <si>
    <t xml:space="preserve">Metros</t>
  </si>
  <si>
    <t xml:space="preserve">Costo metro (COP)</t>
  </si>
  <si>
    <t xml:space="preserve">Código interno</t>
  </si>
  <si>
    <t xml:space="preserve">Código de barras</t>
  </si>
  <si>
    <t xml:space="preserve">Primatela</t>
  </si>
  <si>
    <t xml:space="preserve">7572901088</t>
  </si>
  <si>
    <t xml:space="preserve">Remisión</t>
  </si>
  <si>
    <t xml:space="preserve">2025-10-29</t>
  </si>
  <si>
    <t xml:space="preserve">OC-1042</t>
  </si>
  <si>
    <t xml:space="preserve">6000321268</t>
  </si>
  <si>
    <t xml:space="preserve">0001319184</t>
  </si>
  <si>
    <t xml:space="preserve">SANDDENIM-0009</t>
  </si>
  <si>
    <t xml:space="preserve">SANDDENIM</t>
  </si>
  <si>
    <t xml:space="preserve">150</t>
  </si>
  <si>
    <t xml:space="preserve">6000321251</t>
  </si>
  <si>
    <t xml:space="preserve">Contacto</t>
  </si>
  <si>
    <t xml:space="preserve">30-10002</t>
  </si>
  <si>
    <t xml:space="preserve">Lista de empaque</t>
  </si>
  <si>
    <t xml:space="preserve">2026-06-19</t>
  </si>
  <si>
    <t xml:space="preserve">PF-4250</t>
  </si>
  <si>
    <t xml:space="preserve">654</t>
  </si>
  <si>
    <t xml:space="preserve">53242</t>
  </si>
  <si>
    <t xml:space="preserve">1</t>
  </si>
  <si>
    <t xml:space="preserve">A</t>
  </si>
  <si>
    <t xml:space="preserve">922020175</t>
  </si>
  <si>
    <t xml:space="preserve">FUNKY</t>
  </si>
  <si>
    <t xml:space="preserve">492</t>
  </si>
  <si>
    <t xml:space="preserve">53080</t>
  </si>
  <si>
    <t xml:space="preserve">Megatex</t>
  </si>
  <si>
    <t xml:space="preserve">FEMT16043</t>
  </si>
  <si>
    <t xml:space="preserve">Factura</t>
  </si>
  <si>
    <t xml:space="preserve">2026-02-12</t>
  </si>
  <si>
    <t xml:space="preserve">0000</t>
  </si>
  <si>
    <t xml:space="preserve">TOTAL</t>
  </si>
  <si>
    <t xml:space="preserve">2600772</t>
  </si>
  <si>
    <t xml:space="preserve">BRUSELAS INDIGO 9.8oz</t>
  </si>
  <si>
    <t xml:space="preserve">          INVENTARIO DE TELA — unificado por nombre</t>
  </si>
  <si>
    <t xml:space="preserve">Ver tela:</t>
  </si>
  <si>
    <t xml:space="preserve">Rollos:</t>
  </si>
  <si>
    <t xml:space="preserve">Nombre tela</t>
  </si>
  <si>
    <t xml:space="preserve">N° rollos</t>
  </si>
  <si>
    <t xml:space="preserve">Metros recibidos</t>
  </si>
  <si>
    <t xml:space="preserve">Metros cortados</t>
  </si>
  <si>
    <t xml:space="preserve">Metros disponibles</t>
  </si>
  <si>
    <t xml:space="preserve">Tela (nombre)</t>
  </si>
  <si>
    <t xml:space="preserve">Referencia prenda</t>
  </si>
  <si>
    <t xml:space="preserve">Metros usados</t>
  </si>
  <si>
    <t xml:space="preserve">Responsable</t>
  </si>
  <si>
    <t xml:space="preserve">2026-06-26</t>
  </si>
  <si>
    <t xml:space="preserve">REF 14500-1</t>
  </si>
  <si>
    <t xml:space="preserve">Cortador 1</t>
  </si>
  <si>
    <t xml:space="preserve">          PRECOSTEO</t>
  </si>
  <si>
    <t xml:space="preserve">REF</t>
  </si>
  <si>
    <t xml:space="preserve">14500-1</t>
  </si>
  <si>
    <t xml:space="preserve">NOMBRE</t>
  </si>
  <si>
    <t xml:space="preserve">SKINNY OSCURO</t>
  </si>
  <si>
    <t xml:space="preserve">FOTO (link)</t>
  </si>
  <si>
    <t xml:space="preserve">TELA</t>
  </si>
  <si>
    <t xml:space="preserve">VERBENA</t>
  </si>
  <si>
    <t xml:space="preserve">COLOR</t>
  </si>
  <si>
    <t xml:space="preserve">OSCURO</t>
  </si>
  <si>
    <t xml:space="preserve">IVA %</t>
  </si>
  <si>
    <t xml:space="preserve">CATEGORIA</t>
  </si>
  <si>
    <t xml:space="preserve">ITEM</t>
  </si>
  <si>
    <t xml:space="preserve">VALOR UNITARIO</t>
  </si>
  <si>
    <t xml:space="preserve">CANTIDAD</t>
  </si>
  <si>
    <t xml:space="preserve">IVA</t>
  </si>
  <si>
    <t xml:space="preserve">TOTAL SIN IVA</t>
  </si>
  <si>
    <t xml:space="preserve">TOTAL CON IVA</t>
  </si>
  <si>
    <t xml:space="preserve">DIRTY JEANS</t>
  </si>
  <si>
    <t xml:space="preserve">PRECIO TELA</t>
  </si>
  <si>
    <t xml:space="preserve">PRECIO COMPLEMENTO</t>
  </si>
  <si>
    <t xml:space="preserve">MP</t>
  </si>
  <si>
    <t xml:space="preserve">FORRO</t>
  </si>
  <si>
    <t xml:space="preserve">COMPLEMENTO</t>
  </si>
  <si>
    <t xml:space="preserve">PROCESO EN MP</t>
  </si>
  <si>
    <t xml:space="preserve">BORDADO</t>
  </si>
  <si>
    <t xml:space="preserve">CORE</t>
  </si>
  <si>
    <t xml:space="preserve">PROCESO</t>
  </si>
  <si>
    <t xml:space="preserve">CONFECCION</t>
  </si>
  <si>
    <t xml:space="preserve">INSUMO CONFECCION</t>
  </si>
  <si>
    <t xml:space="preserve">CIERRE</t>
  </si>
  <si>
    <t xml:space="preserve">MARQUILLA TALLA</t>
  </si>
  <si>
    <t xml:space="preserve">BANDERA COLOMBIA</t>
  </si>
  <si>
    <t xml:space="preserve">LAVANDERIA</t>
  </si>
  <si>
    <t xml:space="preserve">TERMINACION</t>
  </si>
  <si>
    <t xml:space="preserve">INSUMO EMPAQUE</t>
  </si>
  <si>
    <t xml:space="preserve">CODIGO</t>
  </si>
  <si>
    <t xml:space="preserve">PRETINERA</t>
  </si>
  <si>
    <t xml:space="preserve">INSTRUCCION LAVADO IMPRESA</t>
  </si>
  <si>
    <t xml:space="preserve">EMPAQUE</t>
  </si>
  <si>
    <t xml:space="preserve">INSUMO TERMINACION</t>
  </si>
  <si>
    <t xml:space="preserve">BOTON 27 L PASTA</t>
  </si>
  <si>
    <t xml:space="preserve">REMACHE</t>
  </si>
  <si>
    <t xml:space="preserve">GARRA</t>
  </si>
  <si>
    <t xml:space="preserve">APLIQUES PROFINTEX</t>
  </si>
  <si>
    <t xml:space="preserve">ENTRETELA</t>
  </si>
  <si>
    <t xml:space="preserve">GASTOS FIJOS</t>
  </si>
  <si>
    <t xml:space="preserve">COSTO TOTAL</t>
  </si>
  <si>
    <t xml:space="preserve">PRECIO SUGERIDO DE VENTA (CON IVA)</t>
  </si>
  <si>
    <t xml:space="preserve">Costo base (sin IVA)</t>
  </si>
  <si>
    <t xml:space="preserve">Margen %</t>
  </si>
  <si>
    <t xml:space="preserve">PRECIO VENTA (con IVA)</t>
  </si>
  <si>
    <t xml:space="preserve">Precio antes de IVA</t>
  </si>
  <si>
    <t xml:space="preserve">IVA 19%</t>
  </si>
  <si>
    <t xml:space="preserve">Margen real %</t>
  </si>
  <si>
    <t xml:space="preserve">ESTADO</t>
  </si>
  <si>
    <t xml:space="preserve">AUTORIZADO POR</t>
  </si>
  <si>
    <t xml:space="preserve">FECHA</t>
  </si>
  <si>
    <t xml:space="preserve">▶ Botón 'Guardar y firmar' (Apps Script): archiva en 'Histórico Precosteo' y limpia el formato a 0.</t>
  </si>
  <si>
    <t xml:space="preserve">Fecha firma</t>
  </si>
  <si>
    <t xml:space="preserve">Ref</t>
  </si>
  <si>
    <t xml:space="preserve">Nombre</t>
  </si>
  <si>
    <t xml:space="preserve">Tela</t>
  </si>
  <si>
    <t xml:space="preserve">Color</t>
  </si>
  <si>
    <t xml:space="preserve">Costo total sin IVA</t>
  </si>
  <si>
    <t xml:space="preserve">Costo total con IVA</t>
  </si>
  <si>
    <t xml:space="preserve">Precio venta con IVA</t>
  </si>
  <si>
    <t xml:space="preserve">Autorizado por</t>
  </si>
  <si>
    <t xml:space="preserve">(las filas firmadas se agregan aquí automáticamente)</t>
  </si>
  <si>
    <t xml:space="preserve">Consecutivo</t>
  </si>
  <si>
    <t xml:space="preserve">Referencia</t>
  </si>
  <si>
    <t xml:space="preserve">Firma</t>
  </si>
  <si>
    <t xml:space="preserve">(las órdenes de corte firmadas se agregan aquí)</t>
  </si>
  <si>
    <t xml:space="preserve">          ORDEN DE CORTE</t>
  </si>
  <si>
    <t xml:space="preserve">Documento que autoriza al cortador a iniciar (luz verde)</t>
  </si>
  <si>
    <t xml:space="preserve">Referencia (prenda)</t>
  </si>
  <si>
    <t xml:space="preserve">Disponible (m)</t>
  </si>
  <si>
    <t xml:space="preserve">Fecha límite</t>
  </si>
  <si>
    <t xml:space="preserve">ROLLOS ASIGNADOS</t>
  </si>
  <si>
    <t xml:space="preserve">TRAZO Y TENDIDO</t>
  </si>
  <si>
    <t xml:space="preserve">Largo trazo (m)</t>
  </si>
  <si>
    <t xml:space="preserve">Nº capas</t>
  </si>
  <si>
    <t xml:space="preserve">Prendas por trazo</t>
  </si>
  <si>
    <t xml:space="preserve">Prendas estimadas</t>
  </si>
  <si>
    <t xml:space="preserve">Rend. teórico (m/prenda)</t>
  </si>
  <si>
    <t xml:space="preserve">Consumo real</t>
  </si>
  <si>
    <t xml:space="preserve">Diferencia %</t>
  </si>
  <si>
    <t xml:space="preserve">Merma (% o m)</t>
  </si>
  <si>
    <t xml:space="preserve">CURVA DE TALLAS</t>
  </si>
  <si>
    <t xml:space="preserve">4</t>
  </si>
  <si>
    <t xml:space="preserve">6</t>
  </si>
  <si>
    <t xml:space="preserve">8</t>
  </si>
  <si>
    <t xml:space="preserve">10</t>
  </si>
  <si>
    <t xml:space="preserve">12</t>
  </si>
  <si>
    <t xml:space="preserve">14</t>
  </si>
  <si>
    <t xml:space="preserve">16</t>
  </si>
  <si>
    <t xml:space="preserve">INDICACIONES AL CORTADOR</t>
  </si>
  <si>
    <t xml:space="preserve">(Sentido de la tela, defectos a evitar, notas de calidad, etc.)</t>
  </si>
  <si>
    <t xml:space="preserve">AUTORIZADO POR (firma)</t>
  </si>
  <si>
    <t xml:space="preserve">Estado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</si>
</sst>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.00"/>
    <numFmt numFmtId="167" formatCode="0"/>
    <numFmt numFmtId="168" formatCode="#,##0.0"/>
    <numFmt numFmtId="169" formatCode="0%"/>
    <numFmt numFmtId="170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13033"/>
      <name val="Montserrat"/>
      <family val="0"/>
      <charset val="1"/>
    </font>
    <font>
      <sz val="11"/>
      <color rgb="FF213033"/>
      <name val="Montserrat"/>
      <family val="0"/>
      <charset val="1"/>
    </font>
    <font>
      <b val="true"/>
      <sz val="11"/>
      <color rgb="FF213033"/>
      <name val="Montserrat"/>
      <family val="0"/>
      <charset val="1"/>
    </font>
    <font>
      <b val="true"/>
      <sz val="10"/>
      <color rgb="FFFFFFFF"/>
      <name val="Montserrat"/>
      <family val="0"/>
      <charset val="1"/>
    </font>
    <font>
      <sz val="10"/>
      <color rgb="FF0C457A"/>
      <name val="Montserrat"/>
      <family val="0"/>
      <charset val="1"/>
    </font>
    <font>
      <sz val="9"/>
      <color rgb="FF606060"/>
      <name val="Montserrat"/>
      <family val="0"/>
      <charset val="1"/>
    </font>
    <font>
      <sz val="18"/>
      <color rgb="FF213033"/>
      <name val="Libre Barcode 39"/>
      <family val="0"/>
      <charset val="1"/>
    </font>
    <font>
      <sz val="10"/>
      <name val="Arial"/>
      <family val="2"/>
    </font>
    <font>
      <b val="true"/>
      <sz val="16"/>
      <color rgb="FFFFFFFF"/>
      <name val="Montserrat"/>
      <family val="0"/>
      <charset val="1"/>
    </font>
    <font>
      <sz val="11"/>
      <color rgb="FF0C457A"/>
      <name val="Montserrat"/>
      <family val="0"/>
      <charset val="1"/>
    </font>
    <font>
      <b val="true"/>
      <sz val="12"/>
      <color rgb="FF036A73"/>
      <name val="Montserrat"/>
      <family val="0"/>
      <charset val="1"/>
    </font>
    <font>
      <b val="true"/>
      <sz val="11"/>
      <color rgb="FF036A73"/>
      <name val="Montserrat"/>
      <family val="0"/>
      <charset val="1"/>
    </font>
    <font>
      <sz val="10"/>
      <color rgb="FF213033"/>
      <name val="Montserrat"/>
      <family val="0"/>
      <charset val="1"/>
    </font>
    <font>
      <b val="true"/>
      <sz val="10"/>
      <color rgb="FF036A73"/>
      <name val="Montserrat"/>
      <family val="0"/>
      <charset val="1"/>
    </font>
    <font>
      <b val="true"/>
      <sz val="10"/>
      <color rgb="FF213033"/>
      <name val="Montserrat"/>
      <family val="0"/>
      <charset val="1"/>
    </font>
    <font>
      <b val="true"/>
      <sz val="9"/>
      <color rgb="FFFFFFFF"/>
      <name val="Montserrat"/>
      <family val="0"/>
      <charset val="1"/>
    </font>
    <font>
      <b val="true"/>
      <sz val="9"/>
      <color rgb="FF606060"/>
      <name val="Montserrat"/>
      <family val="0"/>
      <charset val="1"/>
    </font>
    <font>
      <sz val="9"/>
      <color rgb="FF213033"/>
      <name val="Montserrat"/>
      <family val="0"/>
      <charset val="1"/>
    </font>
    <font>
      <b val="true"/>
      <sz val="11"/>
      <color rgb="FFFFFFFF"/>
      <name val="Montserrat"/>
      <family val="0"/>
      <charset val="1"/>
    </font>
    <font>
      <i val="true"/>
      <sz val="9"/>
      <color rgb="FF606060"/>
      <name val="Montserrat"/>
      <family val="0"/>
      <charset val="1"/>
    </font>
    <font>
      <i val="true"/>
      <sz val="9"/>
      <color rgb="FF999999"/>
      <name val="Montserrat"/>
      <family val="0"/>
      <charset val="1"/>
    </font>
    <font>
      <sz val="9"/>
      <color rgb="FF0C457A"/>
      <name val="Montserrat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13033"/>
        <bgColor rgb="FF333300"/>
      </patternFill>
    </fill>
    <fill>
      <patternFill patternType="solid">
        <fgColor rgb="FF87A6B8"/>
        <bgColor rgb="FF999999"/>
      </patternFill>
    </fill>
    <fill>
      <patternFill patternType="solid">
        <fgColor rgb="FFF2F1EF"/>
        <bgColor rgb="FFF1EAD8"/>
      </patternFill>
    </fill>
    <fill>
      <patternFill patternType="solid">
        <fgColor rgb="FFF1EAD8"/>
        <bgColor rgb="FFF2F1EF"/>
      </patternFill>
    </fill>
    <fill>
      <patternFill patternType="solid">
        <fgColor rgb="FF606060"/>
        <bgColor rgb="FF808080"/>
      </patternFill>
    </fill>
    <fill>
      <patternFill patternType="solid">
        <fgColor rgb="FFE1E1DF"/>
        <bgColor rgb="FFF1EAD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A"/>
      </left>
      <right style="thin">
        <color rgb="FFC8D0DA"/>
      </right>
      <top style="thin">
        <color rgb="FFC8D0DA"/>
      </top>
      <bottom style="thin">
        <color rgb="FFC8D0DA"/>
      </bottom>
      <diagonal/>
    </border>
    <border diagonalUp="false" diagonalDown="false">
      <left style="thin">
        <color rgb="FFC8D0DA"/>
      </left>
      <right/>
      <top style="thin">
        <color rgb="FFC8D0DA"/>
      </top>
      <bottom style="thin">
        <color rgb="FFC8D0DA"/>
      </bottom>
      <diagonal/>
    </border>
    <border diagonalUp="false" diagonalDown="false">
      <left style="thin">
        <color rgb="FFC8D0DA"/>
      </left>
      <right/>
      <top style="thin">
        <color rgb="FFC8D0D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36A73"/>
      <rgbColor rgb="FFC0C0C0"/>
      <rgbColor rgb="FF808080"/>
      <rgbColor rgb="FF87A6B8"/>
      <rgbColor rgb="FF993366"/>
      <rgbColor rgb="FFF2F1EF"/>
      <rgbColor rgb="FFE1E1DF"/>
      <rgbColor rgb="FF660066"/>
      <rgbColor rgb="FFFF8080"/>
      <rgbColor rgb="FF0066CC"/>
      <rgbColor rgb="FFC8D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1EA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060"/>
      <rgbColor rgb="FF999999"/>
      <rgbColor rgb="FF0C457A"/>
      <rgbColor rgb="FF339966"/>
      <rgbColor rgb="FF003300"/>
      <rgbColor rgb="FF333300"/>
      <rgbColor rgb="FF993300"/>
      <rgbColor rgb="FF993366"/>
      <rgbColor rgb="FF333399"/>
      <rgbColor rgb="FF213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1638000</xdr:colOff>
      <xdr:row>2</xdr:row>
      <xdr:rowOff>171360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1638000" cy="552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676080</xdr:colOff>
      <xdr:row>0</xdr:row>
      <xdr:rowOff>228240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676080" cy="228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732960</xdr:colOff>
      <xdr:row>0</xdr:row>
      <xdr:rowOff>247320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73296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2"/>
  </cols>
  <sheetData>
    <row r="4" customFormat="false" ht="18.55" hidden="false" customHeight="false" outlineLevel="0" collapsed="false">
      <c r="A4" s="1" t="s">
        <v>0</v>
      </c>
    </row>
    <row r="6" customFormat="false" ht="15" hidden="false" customHeight="false" outlineLevel="0" collapsed="false">
      <c r="A6" s="2"/>
      <c r="B6" s="3"/>
    </row>
    <row r="7" customFormat="false" ht="15" hidden="false" customHeight="false" outlineLevel="0" collapsed="false">
      <c r="A7" s="4" t="s">
        <v>1</v>
      </c>
      <c r="B7" s="3"/>
    </row>
    <row r="8" customFormat="false" ht="15" hidden="false" customHeight="false" outlineLevel="0" collapsed="false">
      <c r="A8" s="2"/>
      <c r="B8" s="3"/>
    </row>
    <row r="9" customFormat="false" ht="28.35" hidden="false" customHeight="false" outlineLevel="0" collapsed="false">
      <c r="A9" s="2" t="s">
        <v>2</v>
      </c>
      <c r="B9" s="3" t="s">
        <v>3</v>
      </c>
    </row>
    <row r="10" customFormat="false" ht="28.35" hidden="false" customHeight="false" outlineLevel="0" collapsed="false">
      <c r="A10" s="2" t="s">
        <v>4</v>
      </c>
      <c r="B10" s="3" t="s">
        <v>5</v>
      </c>
    </row>
    <row r="11" customFormat="false" ht="15" hidden="false" customHeight="false" outlineLevel="0" collapsed="false">
      <c r="A11" s="2" t="s">
        <v>6</v>
      </c>
      <c r="B11" s="3" t="s">
        <v>7</v>
      </c>
    </row>
    <row r="12" customFormat="false" ht="28.35" hidden="false" customHeight="false" outlineLevel="0" collapsed="false">
      <c r="A12" s="2" t="s">
        <v>8</v>
      </c>
      <c r="B12" s="3" t="s">
        <v>9</v>
      </c>
    </row>
    <row r="13" customFormat="false" ht="15" hidden="false" customHeight="false" outlineLevel="0" collapsed="false">
      <c r="A13" s="2" t="s">
        <v>10</v>
      </c>
      <c r="B13" s="3" t="s">
        <v>11</v>
      </c>
    </row>
    <row r="14" customFormat="false" ht="15" hidden="false" customHeight="false" outlineLevel="0" collapsed="false">
      <c r="A14" s="2" t="s">
        <v>12</v>
      </c>
      <c r="B14" s="3" t="s">
        <v>13</v>
      </c>
    </row>
    <row r="15" customFormat="false" ht="15" hidden="false" customHeight="false" outlineLevel="0" collapsed="false">
      <c r="A15" s="2"/>
      <c r="B15" s="3"/>
    </row>
    <row r="16" customFormat="false" ht="15" hidden="false" customHeight="false" outlineLevel="0" collapsed="false">
      <c r="A16" s="4" t="s">
        <v>14</v>
      </c>
      <c r="B16" s="3"/>
    </row>
    <row r="17" customFormat="false" ht="28.35" hidden="false" customHeight="false" outlineLevel="0" collapsed="false">
      <c r="A17" s="2" t="s">
        <v>15</v>
      </c>
      <c r="B17" s="3" t="s">
        <v>16</v>
      </c>
    </row>
    <row r="18" customFormat="false" ht="15" hidden="false" customHeight="false" outlineLevel="0" collapsed="false">
      <c r="A18" s="2" t="s">
        <v>17</v>
      </c>
      <c r="B18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.62"/>
    <col collapsed="false" customWidth="true" hidden="false" outlineLevel="0" max="2" min="2" style="0" width="13.8"/>
    <col collapsed="false" customWidth="true" hidden="false" outlineLevel="0" max="3" min="3" style="0" width="20.88"/>
    <col collapsed="false" customWidth="true" hidden="false" outlineLevel="0" max="4" min="4" style="0" width="13.8"/>
    <col collapsed="false" customWidth="true" hidden="false" outlineLevel="0" max="5" min="5" style="0" width="10.26"/>
    <col collapsed="false" customWidth="true" hidden="false" outlineLevel="0" max="6" min="6" style="0" width="13.8"/>
    <col collapsed="false" customWidth="true" hidden="false" outlineLevel="0" max="7" min="7" style="0" width="9.08"/>
    <col collapsed="false" customWidth="true" hidden="false" outlineLevel="0" max="8" min="8" style="0" width="13.8"/>
    <col collapsed="false" customWidth="true" hidden="false" outlineLevel="0" max="9" min="9" style="0" width="9"/>
    <col collapsed="false" customWidth="true" hidden="false" outlineLevel="0" max="10" min="10" style="0" width="18.52"/>
    <col collapsed="false" customWidth="true" hidden="false" outlineLevel="0" max="11" min="11" style="0" width="26.78"/>
    <col collapsed="false" customWidth="true" hidden="false" outlineLevel="0" max="12" min="12" style="0" width="9"/>
    <col collapsed="false" customWidth="true" hidden="false" outlineLevel="0" max="13" min="13" style="0" width="9.08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34"/>
  </cols>
  <sheetData>
    <row r="1" customFormat="false" ht="31.5" hidden="false" customHeight="true" outlineLevel="0" collapsed="false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6" t="s">
        <v>33</v>
      </c>
      <c r="P1" s="6" t="s">
        <v>34</v>
      </c>
    </row>
    <row r="2" customFormat="false" ht="30" hidden="false" customHeight="true" outlineLevel="0" collapsed="false">
      <c r="A2" s="7" t="s">
        <v>35</v>
      </c>
      <c r="B2" s="7" t="s">
        <v>36</v>
      </c>
      <c r="C2" s="7" t="s">
        <v>37</v>
      </c>
      <c r="D2" s="7" t="s">
        <v>38</v>
      </c>
      <c r="E2" s="7" t="s">
        <v>39</v>
      </c>
      <c r="F2" s="7" t="s">
        <v>40</v>
      </c>
      <c r="G2" s="7"/>
      <c r="H2" s="7" t="s">
        <v>41</v>
      </c>
      <c r="I2" s="7"/>
      <c r="J2" s="7" t="s">
        <v>42</v>
      </c>
      <c r="K2" s="7" t="s">
        <v>43</v>
      </c>
      <c r="L2" s="8" t="s">
        <v>44</v>
      </c>
      <c r="M2" s="9" t="n">
        <v>47.9</v>
      </c>
      <c r="N2" s="8" t="n">
        <v>9800</v>
      </c>
      <c r="O2" s="10" t="str">
        <f aca="false">IF($A2="","","ROLLO-2026-"&amp;TEXT(ROW()-1,"000000"))</f>
        <v>ROLLO-2026-000001</v>
      </c>
      <c r="P2" s="11" t="str">
        <f aca="false">IF(O2="","","*"&amp;O2&amp;"*")</f>
        <v>*ROLLO-2026-000001*</v>
      </c>
    </row>
    <row r="3" customFormat="false" ht="30" hidden="false" customHeight="true" outlineLevel="0" collapsed="false">
      <c r="A3" s="7" t="s">
        <v>35</v>
      </c>
      <c r="B3" s="7" t="s">
        <v>36</v>
      </c>
      <c r="C3" s="7" t="s">
        <v>37</v>
      </c>
      <c r="D3" s="7" t="s">
        <v>38</v>
      </c>
      <c r="E3" s="7" t="s">
        <v>39</v>
      </c>
      <c r="F3" s="7" t="s">
        <v>45</v>
      </c>
      <c r="G3" s="7"/>
      <c r="H3" s="7" t="s">
        <v>41</v>
      </c>
      <c r="I3" s="7"/>
      <c r="J3" s="7" t="s">
        <v>42</v>
      </c>
      <c r="K3" s="7" t="s">
        <v>43</v>
      </c>
      <c r="L3" s="8" t="s">
        <v>44</v>
      </c>
      <c r="M3" s="9" t="n">
        <v>51.1</v>
      </c>
      <c r="N3" s="8" t="n">
        <v>9800</v>
      </c>
      <c r="O3" s="10" t="str">
        <f aca="false">IF($A3="","","ROLLO-2026-"&amp;TEXT(ROW()-1,"000000"))</f>
        <v>ROLLO-2026-000002</v>
      </c>
      <c r="P3" s="11" t="str">
        <f aca="false">IF(O3="","","*"&amp;O3&amp;"*")</f>
        <v>*ROLLO-2026-000002*</v>
      </c>
    </row>
    <row r="4" customFormat="false" ht="30" hidden="false" customHeight="true" outlineLevel="0" collapsed="false">
      <c r="A4" s="7" t="s">
        <v>46</v>
      </c>
      <c r="B4" s="7" t="s">
        <v>47</v>
      </c>
      <c r="C4" s="7" t="s">
        <v>48</v>
      </c>
      <c r="D4" s="7" t="s">
        <v>49</v>
      </c>
      <c r="E4" s="7" t="s">
        <v>50</v>
      </c>
      <c r="F4" s="7" t="s">
        <v>51</v>
      </c>
      <c r="G4" s="7" t="s">
        <v>52</v>
      </c>
      <c r="H4" s="7" t="s">
        <v>53</v>
      </c>
      <c r="I4" s="7" t="s">
        <v>54</v>
      </c>
      <c r="J4" s="7" t="s">
        <v>55</v>
      </c>
      <c r="K4" s="7" t="s">
        <v>56</v>
      </c>
      <c r="L4" s="8" t="s">
        <v>44</v>
      </c>
      <c r="M4" s="9" t="n">
        <v>82</v>
      </c>
      <c r="N4" s="8" t="n">
        <v>12500</v>
      </c>
      <c r="O4" s="10" t="str">
        <f aca="false">IF($A4="","","ROLLO-2026-"&amp;TEXT(ROW()-1,"000000"))</f>
        <v>ROLLO-2026-000003</v>
      </c>
      <c r="P4" s="11" t="str">
        <f aca="false">IF(O4="","","*"&amp;O4&amp;"*")</f>
        <v>*ROLLO-2026-000003*</v>
      </c>
    </row>
    <row r="5" customFormat="false" ht="30" hidden="false" customHeight="true" outlineLevel="0" collapsed="false">
      <c r="A5" s="7" t="s">
        <v>46</v>
      </c>
      <c r="B5" s="7" t="s">
        <v>47</v>
      </c>
      <c r="C5" s="7" t="s">
        <v>48</v>
      </c>
      <c r="D5" s="7" t="s">
        <v>49</v>
      </c>
      <c r="E5" s="7" t="s">
        <v>50</v>
      </c>
      <c r="F5" s="7" t="s">
        <v>57</v>
      </c>
      <c r="G5" s="7" t="s">
        <v>58</v>
      </c>
      <c r="H5" s="7" t="s">
        <v>53</v>
      </c>
      <c r="I5" s="7" t="s">
        <v>54</v>
      </c>
      <c r="J5" s="7" t="s">
        <v>55</v>
      </c>
      <c r="K5" s="7" t="s">
        <v>56</v>
      </c>
      <c r="L5" s="8" t="s">
        <v>44</v>
      </c>
      <c r="M5" s="9" t="n">
        <v>80.1</v>
      </c>
      <c r="N5" s="8" t="n">
        <v>12500</v>
      </c>
      <c r="O5" s="10" t="str">
        <f aca="false">IF($A5="","","ROLLO-2026-"&amp;TEXT(ROW()-1,"000000"))</f>
        <v>ROLLO-2026-000004</v>
      </c>
      <c r="P5" s="11" t="str">
        <f aca="false">IF(O5="","","*"&amp;O5&amp;"*")</f>
        <v>*ROLLO-2026-000004*</v>
      </c>
    </row>
    <row r="6" customFormat="false" ht="30" hidden="false" customHeight="true" outlineLevel="0" collapsed="false">
      <c r="A6" s="7" t="s">
        <v>59</v>
      </c>
      <c r="B6" s="7" t="s">
        <v>60</v>
      </c>
      <c r="C6" s="7" t="s">
        <v>61</v>
      </c>
      <c r="D6" s="7" t="s">
        <v>62</v>
      </c>
      <c r="E6" s="7" t="s">
        <v>63</v>
      </c>
      <c r="F6" s="7" t="s">
        <v>64</v>
      </c>
      <c r="G6" s="7"/>
      <c r="H6" s="7"/>
      <c r="I6" s="7"/>
      <c r="J6" s="7" t="s">
        <v>65</v>
      </c>
      <c r="K6" s="7" t="s">
        <v>66</v>
      </c>
      <c r="L6" s="8" t="s">
        <v>44</v>
      </c>
      <c r="M6" s="9" t="n">
        <v>307.7</v>
      </c>
      <c r="N6" s="8" t="n">
        <v>16000</v>
      </c>
      <c r="O6" s="10" t="str">
        <f aca="false">IF($A6="","","ROLLO-2026-"&amp;TEXT(ROW()-1,"000000"))</f>
        <v>ROLLO-2026-000005</v>
      </c>
      <c r="P6" s="11" t="str">
        <f aca="false">IF(O6="","","*"&amp;O6&amp;"*")</f>
        <v>*ROLLO-2026-000005*</v>
      </c>
    </row>
    <row r="7" customFormat="false" ht="22.05" hidden="false" customHeight="false" outlineLevel="0" collapsed="false">
      <c r="O7" s="10" t="str">
        <f aca="false">IF($A7="","","ROLLO-2026-"&amp;TEXT(ROW()-1,"000000"))</f>
        <v/>
      </c>
      <c r="P7" s="12" t="str">
        <f aca="false">IF(O7="","","*"&amp;O7&amp;"*")</f>
        <v/>
      </c>
    </row>
    <row r="8" customFormat="false" ht="22.05" hidden="false" customHeight="false" outlineLevel="0" collapsed="false">
      <c r="O8" s="10" t="str">
        <f aca="false">IF($A8="","","ROLLO-2026-"&amp;TEXT(ROW()-1,"000000"))</f>
        <v/>
      </c>
      <c r="P8" s="12" t="str">
        <f aca="false">IF(O8="","","*"&amp;O8&amp;"*")</f>
        <v/>
      </c>
    </row>
    <row r="9" customFormat="false" ht="22.05" hidden="false" customHeight="false" outlineLevel="0" collapsed="false">
      <c r="O9" s="10" t="str">
        <f aca="false">IF($A9="","","ROLLO-2026-"&amp;TEXT(ROW()-1,"000000"))</f>
        <v/>
      </c>
      <c r="P9" s="12" t="str">
        <f aca="false">IF(O9="","","*"&amp;O9&amp;"*")</f>
        <v/>
      </c>
    </row>
    <row r="10" customFormat="false" ht="22.05" hidden="false" customHeight="false" outlineLevel="0" collapsed="false">
      <c r="O10" s="10" t="str">
        <f aca="false">IF($A10="","","ROLLO-2026-"&amp;TEXT(ROW()-1,"000000"))</f>
        <v/>
      </c>
      <c r="P10" s="12" t="str">
        <f aca="false">IF(O10="","","*"&amp;O10&amp;"*")</f>
        <v/>
      </c>
    </row>
    <row r="11" customFormat="false" ht="22.05" hidden="false" customHeight="false" outlineLevel="0" collapsed="false">
      <c r="O11" s="10" t="str">
        <f aca="false">IF($A11="","","ROLLO-2026-"&amp;TEXT(ROW()-1,"000000"))</f>
        <v/>
      </c>
      <c r="P11" s="12" t="str">
        <f aca="false">IF(O11="","","*"&amp;O11&amp;"*")</f>
        <v/>
      </c>
    </row>
    <row r="12" customFormat="false" ht="22.05" hidden="false" customHeight="false" outlineLevel="0" collapsed="false">
      <c r="O12" s="10" t="str">
        <f aca="false">IF($A12="","","ROLLO-2026-"&amp;TEXT(ROW()-1,"000000"))</f>
        <v/>
      </c>
      <c r="P12" s="12" t="str">
        <f aca="false">IF(O12="","","*"&amp;O12&amp;"*")</f>
        <v/>
      </c>
    </row>
    <row r="13" customFormat="false" ht="22.05" hidden="false" customHeight="false" outlineLevel="0" collapsed="false">
      <c r="O13" s="10" t="str">
        <f aca="false">IF($A13="","","ROLLO-2026-"&amp;TEXT(ROW()-1,"000000"))</f>
        <v/>
      </c>
      <c r="P13" s="12" t="str">
        <f aca="false">IF(O13="","","*"&amp;O13&amp;"*")</f>
        <v/>
      </c>
    </row>
    <row r="14" customFormat="false" ht="22.05" hidden="false" customHeight="false" outlineLevel="0" collapsed="false">
      <c r="O14" s="10" t="str">
        <f aca="false">IF($A14="","","ROLLO-2026-"&amp;TEXT(ROW()-1,"000000"))</f>
        <v/>
      </c>
      <c r="P14" s="12" t="str">
        <f aca="false">IF(O14="","","*"&amp;O14&amp;"*")</f>
        <v/>
      </c>
    </row>
    <row r="15" customFormat="false" ht="22.05" hidden="false" customHeight="false" outlineLevel="0" collapsed="false">
      <c r="O15" s="10" t="str">
        <f aca="false">IF($A15="","","ROLLO-2026-"&amp;TEXT(ROW()-1,"000000"))</f>
        <v/>
      </c>
      <c r="P15" s="12" t="str">
        <f aca="false">IF(O15="","","*"&amp;O15&amp;"*")</f>
        <v/>
      </c>
    </row>
    <row r="16" customFormat="false" ht="22.05" hidden="false" customHeight="false" outlineLevel="0" collapsed="false">
      <c r="O16" s="10" t="str">
        <f aca="false">IF($A16="","","ROLLO-2026-"&amp;TEXT(ROW()-1,"000000"))</f>
        <v/>
      </c>
      <c r="P16" s="12" t="str">
        <f aca="false">IF(O16="","","*"&amp;O16&amp;"*")</f>
        <v/>
      </c>
    </row>
    <row r="17" customFormat="false" ht="22.05" hidden="false" customHeight="false" outlineLevel="0" collapsed="false">
      <c r="O17" s="10" t="str">
        <f aca="false">IF($A17="","","ROLLO-2026-"&amp;TEXT(ROW()-1,"000000"))</f>
        <v/>
      </c>
      <c r="P17" s="12" t="str">
        <f aca="false">IF(O17="","","*"&amp;O17&amp;"*")</f>
        <v/>
      </c>
    </row>
    <row r="18" customFormat="false" ht="22.05" hidden="false" customHeight="false" outlineLevel="0" collapsed="false">
      <c r="O18" s="10" t="str">
        <f aca="false">IF($A18="","","ROLLO-2026-"&amp;TEXT(ROW()-1,"000000"))</f>
        <v/>
      </c>
      <c r="P18" s="12" t="str">
        <f aca="false">IF(O18="","","*"&amp;O18&amp;"*")</f>
        <v/>
      </c>
    </row>
    <row r="19" customFormat="false" ht="22.05" hidden="false" customHeight="false" outlineLevel="0" collapsed="false">
      <c r="O19" s="10" t="str">
        <f aca="false">IF($A19="","","ROLLO-2026-"&amp;TEXT(ROW()-1,"000000"))</f>
        <v/>
      </c>
      <c r="P19" s="12" t="str">
        <f aca="false">IF(O19="","","*"&amp;O19&amp;"*")</f>
        <v/>
      </c>
    </row>
    <row r="20" customFormat="false" ht="22.05" hidden="false" customHeight="false" outlineLevel="0" collapsed="false">
      <c r="O20" s="10" t="str">
        <f aca="false">IF($A20="","","ROLLO-2026-"&amp;TEXT(ROW()-1,"000000"))</f>
        <v/>
      </c>
      <c r="P20" s="12" t="str">
        <f aca="false">IF(O20="","","*"&amp;O20&amp;"*")</f>
        <v/>
      </c>
    </row>
    <row r="21" customFormat="false" ht="22.05" hidden="false" customHeight="false" outlineLevel="0" collapsed="false">
      <c r="O21" s="10" t="str">
        <f aca="false">IF($A21="","","ROLLO-2026-"&amp;TEXT(ROW()-1,"000000"))</f>
        <v/>
      </c>
      <c r="P21" s="12" t="str">
        <f aca="false">IF(O21="","","*"&amp;O21&amp;"*")</f>
        <v/>
      </c>
    </row>
    <row r="22" customFormat="false" ht="22.05" hidden="false" customHeight="false" outlineLevel="0" collapsed="false">
      <c r="O22" s="10" t="str">
        <f aca="false">IF($A22="","","ROLLO-2026-"&amp;TEXT(ROW()-1,"000000"))</f>
        <v/>
      </c>
      <c r="P22" s="12" t="str">
        <f aca="false">IF(O22="","","*"&amp;O22&amp;"*")</f>
        <v/>
      </c>
    </row>
    <row r="23" customFormat="false" ht="22.05" hidden="false" customHeight="false" outlineLevel="0" collapsed="false">
      <c r="O23" s="10" t="str">
        <f aca="false">IF($A23="","","ROLLO-2026-"&amp;TEXT(ROW()-1,"000000"))</f>
        <v/>
      </c>
      <c r="P23" s="12" t="str">
        <f aca="false">IF(O23="","","*"&amp;O23&amp;"*")</f>
        <v/>
      </c>
    </row>
    <row r="24" customFormat="false" ht="22.05" hidden="false" customHeight="false" outlineLevel="0" collapsed="false">
      <c r="O24" s="10" t="str">
        <f aca="false">IF($A24="","","ROLLO-2026-"&amp;TEXT(ROW()-1,"000000"))</f>
        <v/>
      </c>
      <c r="P24" s="12" t="str">
        <f aca="false">IF(O24="","","*"&amp;O24&amp;"*")</f>
        <v/>
      </c>
    </row>
    <row r="25" customFormat="false" ht="22.05" hidden="false" customHeight="false" outlineLevel="0" collapsed="false">
      <c r="O25" s="10" t="str">
        <f aca="false">IF($A25="","","ROLLO-2026-"&amp;TEXT(ROW()-1,"000000"))</f>
        <v/>
      </c>
      <c r="P25" s="12" t="str">
        <f aca="false">IF(O25="","","*"&amp;O25&amp;"*")</f>
        <v/>
      </c>
    </row>
    <row r="26" customFormat="false" ht="22.05" hidden="false" customHeight="false" outlineLevel="0" collapsed="false">
      <c r="O26" s="10" t="str">
        <f aca="false">IF($A26="","","ROLLO-2026-"&amp;TEXT(ROW()-1,"000000"))</f>
        <v/>
      </c>
      <c r="P26" s="12" t="str">
        <f aca="false">IF(O26="","","*"&amp;O26&amp;"*")</f>
        <v/>
      </c>
    </row>
    <row r="27" customFormat="false" ht="22.05" hidden="false" customHeight="false" outlineLevel="0" collapsed="false">
      <c r="O27" s="10" t="str">
        <f aca="false">IF($A27="","","ROLLO-2026-"&amp;TEXT(ROW()-1,"000000"))</f>
        <v/>
      </c>
      <c r="P27" s="12" t="str">
        <f aca="false">IF(O27="","","*"&amp;O27&amp;"*")</f>
        <v/>
      </c>
    </row>
    <row r="28" customFormat="false" ht="22.05" hidden="false" customHeight="false" outlineLevel="0" collapsed="false">
      <c r="O28" s="10" t="str">
        <f aca="false">IF($A28="","","ROLLO-2026-"&amp;TEXT(ROW()-1,"000000"))</f>
        <v/>
      </c>
      <c r="P28" s="12" t="str">
        <f aca="false">IF(O28="","","*"&amp;O28&amp;"*")</f>
        <v/>
      </c>
    </row>
    <row r="29" customFormat="false" ht="22.05" hidden="false" customHeight="false" outlineLevel="0" collapsed="false">
      <c r="O29" s="10" t="str">
        <f aca="false">IF($A29="","","ROLLO-2026-"&amp;TEXT(ROW()-1,"000000"))</f>
        <v/>
      </c>
      <c r="P29" s="12" t="str">
        <f aca="false">IF(O29="","","*"&amp;O29&amp;"*")</f>
        <v/>
      </c>
    </row>
    <row r="30" customFormat="false" ht="22.05" hidden="false" customHeight="false" outlineLevel="0" collapsed="false">
      <c r="O30" s="10" t="str">
        <f aca="false">IF($A30="","","ROLLO-2026-"&amp;TEXT(ROW()-1,"000000"))</f>
        <v/>
      </c>
      <c r="P30" s="12" t="str">
        <f aca="false">IF(O30="","","*"&amp;O30&amp;"*")</f>
        <v/>
      </c>
    </row>
    <row r="31" customFormat="false" ht="22.05" hidden="false" customHeight="false" outlineLevel="0" collapsed="false">
      <c r="O31" s="10" t="str">
        <f aca="false">IF($A31="","","ROLLO-2026-"&amp;TEXT(ROW()-1,"000000"))</f>
        <v/>
      </c>
      <c r="P31" s="12" t="str">
        <f aca="false">IF(O31="","","*"&amp;O31&amp;"*")</f>
        <v/>
      </c>
    </row>
    <row r="32" customFormat="false" ht="22.05" hidden="false" customHeight="false" outlineLevel="0" collapsed="false">
      <c r="O32" s="10" t="str">
        <f aca="false">IF($A32="","","ROLLO-2026-"&amp;TEXT(ROW()-1,"000000"))</f>
        <v/>
      </c>
      <c r="P32" s="12" t="str">
        <f aca="false">IF(O32="","","*"&amp;O32&amp;"*")</f>
        <v/>
      </c>
    </row>
    <row r="33" customFormat="false" ht="22.05" hidden="false" customHeight="false" outlineLevel="0" collapsed="false">
      <c r="O33" s="10" t="str">
        <f aca="false">IF($A33="","","ROLLO-2026-"&amp;TEXT(ROW()-1,"000000"))</f>
        <v/>
      </c>
      <c r="P33" s="12" t="str">
        <f aca="false">IF(O33="","","*"&amp;O33&amp;"*")</f>
        <v/>
      </c>
    </row>
    <row r="34" customFormat="false" ht="22.05" hidden="false" customHeight="false" outlineLevel="0" collapsed="false">
      <c r="O34" s="10" t="str">
        <f aca="false">IF($A34="","","ROLLO-2026-"&amp;TEXT(ROW()-1,"000000"))</f>
        <v/>
      </c>
      <c r="P34" s="12" t="str">
        <f aca="false">IF(O34="","","*"&amp;O34&amp;"*")</f>
        <v/>
      </c>
    </row>
    <row r="35" customFormat="false" ht="22.05" hidden="false" customHeight="false" outlineLevel="0" collapsed="false">
      <c r="O35" s="10" t="str">
        <f aca="false">IF($A35="","","ROLLO-2026-"&amp;TEXT(ROW()-1,"000000"))</f>
        <v/>
      </c>
      <c r="P35" s="12" t="str">
        <f aca="false">IF(O35="","","*"&amp;O35&amp;"*")</f>
        <v/>
      </c>
    </row>
    <row r="36" customFormat="false" ht="22.05" hidden="false" customHeight="false" outlineLevel="0" collapsed="false">
      <c r="O36" s="10" t="str">
        <f aca="false">IF($A36="","","ROLLO-2026-"&amp;TEXT(ROW()-1,"000000"))</f>
        <v/>
      </c>
      <c r="P36" s="12" t="str">
        <f aca="false">IF(O36="","","*"&amp;O36&amp;"*")</f>
        <v/>
      </c>
    </row>
    <row r="37" customFormat="false" ht="22.05" hidden="false" customHeight="false" outlineLevel="0" collapsed="false">
      <c r="O37" s="10" t="str">
        <f aca="false">IF($A37="","","ROLLO-2026-"&amp;TEXT(ROW()-1,"000000"))</f>
        <v/>
      </c>
      <c r="P37" s="12" t="str">
        <f aca="false">IF(O37="","","*"&amp;O37&amp;"*")</f>
        <v/>
      </c>
    </row>
    <row r="38" customFormat="false" ht="22.05" hidden="false" customHeight="false" outlineLevel="0" collapsed="false">
      <c r="O38" s="10" t="str">
        <f aca="false">IF($A38="","","ROLLO-2026-"&amp;TEXT(ROW()-1,"000000"))</f>
        <v/>
      </c>
      <c r="P38" s="12" t="str">
        <f aca="false">IF(O38="","","*"&amp;O38&amp;"*")</f>
        <v/>
      </c>
    </row>
    <row r="39" customFormat="false" ht="22.05" hidden="false" customHeight="false" outlineLevel="0" collapsed="false">
      <c r="O39" s="10" t="str">
        <f aca="false">IF($A39="","","ROLLO-2026-"&amp;TEXT(ROW()-1,"000000"))</f>
        <v/>
      </c>
      <c r="P39" s="12" t="str">
        <f aca="false">IF(O39="","","*"&amp;O39&amp;"*")</f>
        <v/>
      </c>
    </row>
    <row r="40" customFormat="false" ht="22.05" hidden="false" customHeight="false" outlineLevel="0" collapsed="false">
      <c r="O40" s="10" t="str">
        <f aca="false">IF($A40="","","ROLLO-2026-"&amp;TEXT(ROW()-1,"000000"))</f>
        <v/>
      </c>
      <c r="P40" s="12" t="str">
        <f aca="false">IF(O40="","","*"&amp;O40&amp;"*")</f>
        <v/>
      </c>
    </row>
    <row r="41" customFormat="false" ht="22.05" hidden="false" customHeight="false" outlineLevel="0" collapsed="false">
      <c r="O41" s="10" t="str">
        <f aca="false">IF($A41="","","ROLLO-2026-"&amp;TEXT(ROW()-1,"000000"))</f>
        <v/>
      </c>
      <c r="P41" s="12" t="str">
        <f aca="false">IF(O41="","","*"&amp;O41&amp;"*")</f>
        <v/>
      </c>
    </row>
    <row r="42" customFormat="false" ht="22.05" hidden="false" customHeight="false" outlineLevel="0" collapsed="false">
      <c r="O42" s="10" t="str">
        <f aca="false">IF($A42="","","ROLLO-2026-"&amp;TEXT(ROW()-1,"000000"))</f>
        <v/>
      </c>
      <c r="P42" s="12" t="str">
        <f aca="false">IF(O42="","","*"&amp;O42&amp;"*")</f>
        <v/>
      </c>
    </row>
    <row r="43" customFormat="false" ht="22.05" hidden="false" customHeight="false" outlineLevel="0" collapsed="false">
      <c r="O43" s="10" t="str">
        <f aca="false">IF($A43="","","ROLLO-2026-"&amp;TEXT(ROW()-1,"000000"))</f>
        <v/>
      </c>
      <c r="P43" s="12" t="str">
        <f aca="false">IF(O43="","","*"&amp;O43&amp;"*")</f>
        <v/>
      </c>
    </row>
    <row r="44" customFormat="false" ht="22.05" hidden="false" customHeight="false" outlineLevel="0" collapsed="false">
      <c r="O44" s="10" t="str">
        <f aca="false">IF($A44="","","ROLLO-2026-"&amp;TEXT(ROW()-1,"000000"))</f>
        <v/>
      </c>
      <c r="P44" s="12" t="str">
        <f aca="false">IF(O44="","","*"&amp;O44&amp;"*")</f>
        <v/>
      </c>
    </row>
    <row r="45" customFormat="false" ht="22.05" hidden="false" customHeight="false" outlineLevel="0" collapsed="false">
      <c r="O45" s="10" t="str">
        <f aca="false">IF($A45="","","ROLLO-2026-"&amp;TEXT(ROW()-1,"000000"))</f>
        <v/>
      </c>
      <c r="P45" s="12" t="str">
        <f aca="false">IF(O45="","","*"&amp;O45&amp;"*")</f>
        <v/>
      </c>
    </row>
    <row r="46" customFormat="false" ht="22.05" hidden="false" customHeight="false" outlineLevel="0" collapsed="false">
      <c r="O46" s="10" t="str">
        <f aca="false">IF($A46="","","ROLLO-2026-"&amp;TEXT(ROW()-1,"000000"))</f>
        <v/>
      </c>
      <c r="P46" s="12" t="str">
        <f aca="false">IF(O46="","","*"&amp;O46&amp;"*")</f>
        <v/>
      </c>
    </row>
    <row r="47" customFormat="false" ht="22.05" hidden="false" customHeight="false" outlineLevel="0" collapsed="false">
      <c r="O47" s="10" t="str">
        <f aca="false">IF($A47="","","ROLLO-2026-"&amp;TEXT(ROW()-1,"000000"))</f>
        <v/>
      </c>
      <c r="P47" s="12" t="str">
        <f aca="false">IF(O47="","","*"&amp;O47&amp;"*")</f>
        <v/>
      </c>
    </row>
    <row r="48" customFormat="false" ht="22.05" hidden="false" customHeight="false" outlineLevel="0" collapsed="false">
      <c r="O48" s="10" t="str">
        <f aca="false">IF($A48="","","ROLLO-2026-"&amp;TEXT(ROW()-1,"000000"))</f>
        <v/>
      </c>
      <c r="P48" s="12" t="str">
        <f aca="false">IF(O48="","","*"&amp;O48&amp;"*")</f>
        <v/>
      </c>
    </row>
    <row r="49" customFormat="false" ht="22.05" hidden="false" customHeight="false" outlineLevel="0" collapsed="false">
      <c r="O49" s="10" t="str">
        <f aca="false">IF($A49="","","ROLLO-2026-"&amp;TEXT(ROW()-1,"000000"))</f>
        <v/>
      </c>
      <c r="P49" s="12" t="str">
        <f aca="false">IF(O49="","","*"&amp;O49&amp;"*")</f>
        <v/>
      </c>
    </row>
    <row r="50" customFormat="false" ht="22.05" hidden="false" customHeight="false" outlineLevel="0" collapsed="false">
      <c r="O50" s="10" t="str">
        <f aca="false">IF($A50="","","ROLLO-2026-"&amp;TEXT(ROW()-1,"000000"))</f>
        <v/>
      </c>
      <c r="P50" s="12" t="str">
        <f aca="false">IF(O50="","","*"&amp;O50&amp;"*")</f>
        <v/>
      </c>
    </row>
    <row r="51" customFormat="false" ht="22.05" hidden="false" customHeight="false" outlineLevel="0" collapsed="false">
      <c r="O51" s="10" t="str">
        <f aca="false">IF($A51="","","ROLLO-2026-"&amp;TEXT(ROW()-1,"000000"))</f>
        <v/>
      </c>
      <c r="P51" s="12" t="str">
        <f aca="false">IF(O51="","","*"&amp;O51&amp;"*")</f>
        <v/>
      </c>
    </row>
    <row r="52" customFormat="false" ht="22.05" hidden="false" customHeight="false" outlineLevel="0" collapsed="false">
      <c r="O52" s="10" t="str">
        <f aca="false">IF($A52="","","ROLLO-2026-"&amp;TEXT(ROW()-1,"000000"))</f>
        <v/>
      </c>
      <c r="P52" s="12" t="str">
        <f aca="false">IF(O52="","","*"&amp;O52&amp;"*")</f>
        <v/>
      </c>
    </row>
    <row r="53" customFormat="false" ht="22.05" hidden="false" customHeight="false" outlineLevel="0" collapsed="false">
      <c r="O53" s="10" t="str">
        <f aca="false">IF($A53="","","ROLLO-2026-"&amp;TEXT(ROW()-1,"000000"))</f>
        <v/>
      </c>
      <c r="P53" s="12" t="str">
        <f aca="false">IF(O53="","","*"&amp;O53&amp;"*")</f>
        <v/>
      </c>
    </row>
    <row r="54" customFormat="false" ht="22.05" hidden="false" customHeight="false" outlineLevel="0" collapsed="false">
      <c r="O54" s="10" t="str">
        <f aca="false">IF($A54="","","ROLLO-2026-"&amp;TEXT(ROW()-1,"000000"))</f>
        <v/>
      </c>
      <c r="P54" s="12" t="str">
        <f aca="false">IF(O54="","","*"&amp;O54&amp;"*")</f>
        <v/>
      </c>
    </row>
    <row r="55" customFormat="false" ht="22.05" hidden="false" customHeight="false" outlineLevel="0" collapsed="false">
      <c r="O55" s="10" t="str">
        <f aca="false">IF($A55="","","ROLLO-2026-"&amp;TEXT(ROW()-1,"000000"))</f>
        <v/>
      </c>
      <c r="P55" s="12" t="str">
        <f aca="false">IF(O55="","","*"&amp;O55&amp;"*")</f>
        <v/>
      </c>
    </row>
    <row r="56" customFormat="false" ht="22.05" hidden="false" customHeight="false" outlineLevel="0" collapsed="false">
      <c r="O56" s="10" t="str">
        <f aca="false">IF($A56="","","ROLLO-2026-"&amp;TEXT(ROW()-1,"000000"))</f>
        <v/>
      </c>
      <c r="P56" s="12" t="str">
        <f aca="false">IF(O56="","","*"&amp;O56&amp;"*")</f>
        <v/>
      </c>
    </row>
    <row r="57" customFormat="false" ht="22.05" hidden="false" customHeight="false" outlineLevel="0" collapsed="false">
      <c r="O57" s="10" t="str">
        <f aca="false">IF($A57="","","ROLLO-2026-"&amp;TEXT(ROW()-1,"000000"))</f>
        <v/>
      </c>
      <c r="P57" s="12" t="str">
        <f aca="false">IF(O57="","","*"&amp;O57&amp;"*")</f>
        <v/>
      </c>
    </row>
    <row r="58" customFormat="false" ht="22.05" hidden="false" customHeight="false" outlineLevel="0" collapsed="false">
      <c r="O58" s="10" t="str">
        <f aca="false">IF($A58="","","ROLLO-2026-"&amp;TEXT(ROW()-1,"000000"))</f>
        <v/>
      </c>
      <c r="P58" s="12" t="str">
        <f aca="false">IF(O58="","","*"&amp;O58&amp;"*")</f>
        <v/>
      </c>
    </row>
    <row r="59" customFormat="false" ht="22.05" hidden="false" customHeight="false" outlineLevel="0" collapsed="false">
      <c r="O59" s="10" t="str">
        <f aca="false">IF($A59="","","ROLLO-2026-"&amp;TEXT(ROW()-1,"000000"))</f>
        <v/>
      </c>
      <c r="P59" s="12" t="str">
        <f aca="false">IF(O59="","","*"&amp;O59&amp;"*")</f>
        <v/>
      </c>
    </row>
    <row r="60" customFormat="false" ht="22.05" hidden="false" customHeight="false" outlineLevel="0" collapsed="false">
      <c r="O60" s="10" t="str">
        <f aca="false">IF($A60="","","ROLLO-2026-"&amp;TEXT(ROW()-1,"000000"))</f>
        <v/>
      </c>
      <c r="P60" s="12" t="str">
        <f aca="false">IF(O60="","","*"&amp;O60&amp;"*")</f>
        <v/>
      </c>
    </row>
    <row r="61" customFormat="false" ht="22.05" hidden="false" customHeight="false" outlineLevel="0" collapsed="false">
      <c r="O61" s="10" t="str">
        <f aca="false">IF($A61="","","ROLLO-2026-"&amp;TEXT(ROW()-1,"000000"))</f>
        <v/>
      </c>
      <c r="P61" s="12" t="str">
        <f aca="false">IF(O61="","","*"&amp;O61&amp;"*")</f>
        <v/>
      </c>
    </row>
    <row r="62" customFormat="false" ht="22.05" hidden="false" customHeight="false" outlineLevel="0" collapsed="false">
      <c r="O62" s="10" t="str">
        <f aca="false">IF($A62="","","ROLLO-2026-"&amp;TEXT(ROW()-1,"000000"))</f>
        <v/>
      </c>
      <c r="P62" s="12" t="str">
        <f aca="false">IF(O62="","","*"&amp;O62&amp;"*")</f>
        <v/>
      </c>
    </row>
    <row r="63" customFormat="false" ht="22.05" hidden="false" customHeight="false" outlineLevel="0" collapsed="false">
      <c r="O63" s="10" t="str">
        <f aca="false">IF($A63="","","ROLLO-2026-"&amp;TEXT(ROW()-1,"000000"))</f>
        <v/>
      </c>
      <c r="P63" s="12" t="str">
        <f aca="false">IF(O63="","","*"&amp;O63&amp;"*")</f>
        <v/>
      </c>
    </row>
    <row r="64" customFormat="false" ht="22.05" hidden="false" customHeight="false" outlineLevel="0" collapsed="false">
      <c r="O64" s="10" t="str">
        <f aca="false">IF($A64="","","ROLLO-2026-"&amp;TEXT(ROW()-1,"000000"))</f>
        <v/>
      </c>
      <c r="P64" s="12" t="str">
        <f aca="false">IF(O64="","","*"&amp;O64&amp;"*")</f>
        <v/>
      </c>
    </row>
    <row r="65" customFormat="false" ht="22.05" hidden="false" customHeight="false" outlineLevel="0" collapsed="false">
      <c r="O65" s="10" t="str">
        <f aca="false">IF($A65="","","ROLLO-2026-"&amp;TEXT(ROW()-1,"000000"))</f>
        <v/>
      </c>
      <c r="P65" s="12" t="str">
        <f aca="false">IF(O65="","","*"&amp;O65&amp;"*")</f>
        <v/>
      </c>
    </row>
    <row r="66" customFormat="false" ht="22.05" hidden="false" customHeight="false" outlineLevel="0" collapsed="false">
      <c r="O66" s="10" t="str">
        <f aca="false">IF($A66="","","ROLLO-2026-"&amp;TEXT(ROW()-1,"000000"))</f>
        <v/>
      </c>
      <c r="P66" s="12" t="str">
        <f aca="false">IF(O66="","","*"&amp;O66&amp;"*")</f>
        <v/>
      </c>
    </row>
    <row r="67" customFormat="false" ht="22.05" hidden="false" customHeight="false" outlineLevel="0" collapsed="false">
      <c r="O67" s="10" t="str">
        <f aca="false">IF($A67="","","ROLLO-2026-"&amp;TEXT(ROW()-1,"000000"))</f>
        <v/>
      </c>
      <c r="P67" s="12" t="str">
        <f aca="false">IF(O67="","","*"&amp;O67&amp;"*")</f>
        <v/>
      </c>
    </row>
    <row r="68" customFormat="false" ht="22.05" hidden="false" customHeight="false" outlineLevel="0" collapsed="false">
      <c r="O68" s="10" t="str">
        <f aca="false">IF($A68="","","ROLLO-2026-"&amp;TEXT(ROW()-1,"000000"))</f>
        <v/>
      </c>
      <c r="P68" s="12" t="str">
        <f aca="false">IF(O68="","","*"&amp;O68&amp;"*")</f>
        <v/>
      </c>
    </row>
    <row r="69" customFormat="false" ht="22.05" hidden="false" customHeight="false" outlineLevel="0" collapsed="false">
      <c r="O69" s="10" t="str">
        <f aca="false">IF($A69="","","ROLLO-2026-"&amp;TEXT(ROW()-1,"000000"))</f>
        <v/>
      </c>
      <c r="P69" s="12" t="str">
        <f aca="false">IF(O69="","","*"&amp;O69&amp;"*")</f>
        <v/>
      </c>
    </row>
    <row r="70" customFormat="false" ht="22.05" hidden="false" customHeight="false" outlineLevel="0" collapsed="false">
      <c r="O70" s="10" t="str">
        <f aca="false">IF($A70="","","ROLLO-2026-"&amp;TEXT(ROW()-1,"000000"))</f>
        <v/>
      </c>
      <c r="P70" s="12" t="str">
        <f aca="false">IF(O70="","","*"&amp;O70&amp;"*")</f>
        <v/>
      </c>
    </row>
    <row r="71" customFormat="false" ht="22.05" hidden="false" customHeight="false" outlineLevel="0" collapsed="false">
      <c r="O71" s="10" t="str">
        <f aca="false">IF($A71="","","ROLLO-2026-"&amp;TEXT(ROW()-1,"000000"))</f>
        <v/>
      </c>
      <c r="P71" s="12" t="str">
        <f aca="false">IF(O71="","","*"&amp;O71&amp;"*")</f>
        <v/>
      </c>
    </row>
    <row r="72" customFormat="false" ht="22.05" hidden="false" customHeight="false" outlineLevel="0" collapsed="false">
      <c r="O72" s="10" t="str">
        <f aca="false">IF($A72="","","ROLLO-2026-"&amp;TEXT(ROW()-1,"000000"))</f>
        <v/>
      </c>
      <c r="P72" s="12" t="str">
        <f aca="false">IF(O72="","","*"&amp;O72&amp;"*")</f>
        <v/>
      </c>
    </row>
    <row r="73" customFormat="false" ht="22.05" hidden="false" customHeight="false" outlineLevel="0" collapsed="false">
      <c r="O73" s="10" t="str">
        <f aca="false">IF($A73="","","ROLLO-2026-"&amp;TEXT(ROW()-1,"000000"))</f>
        <v/>
      </c>
      <c r="P73" s="12" t="str">
        <f aca="false">IF(O73="","","*"&amp;O73&amp;"*")</f>
        <v/>
      </c>
    </row>
    <row r="74" customFormat="false" ht="22.05" hidden="false" customHeight="false" outlineLevel="0" collapsed="false">
      <c r="O74" s="10" t="str">
        <f aca="false">IF($A74="","","ROLLO-2026-"&amp;TEXT(ROW()-1,"000000"))</f>
        <v/>
      </c>
      <c r="P74" s="12" t="str">
        <f aca="false">IF(O74="","","*"&amp;O74&amp;"*")</f>
        <v/>
      </c>
    </row>
    <row r="75" customFormat="false" ht="22.05" hidden="false" customHeight="false" outlineLevel="0" collapsed="false">
      <c r="O75" s="10" t="str">
        <f aca="false">IF($A75="","","ROLLO-2026-"&amp;TEXT(ROW()-1,"000000"))</f>
        <v/>
      </c>
      <c r="P75" s="12" t="str">
        <f aca="false">IF(O75="","","*"&amp;O75&amp;"*")</f>
        <v/>
      </c>
    </row>
    <row r="76" customFormat="false" ht="22.05" hidden="false" customHeight="false" outlineLevel="0" collapsed="false">
      <c r="O76" s="10" t="str">
        <f aca="false">IF($A76="","","ROLLO-2026-"&amp;TEXT(ROW()-1,"000000"))</f>
        <v/>
      </c>
      <c r="P76" s="12" t="str">
        <f aca="false">IF(O76="","","*"&amp;O76&amp;"*")</f>
        <v/>
      </c>
    </row>
    <row r="77" customFormat="false" ht="22.05" hidden="false" customHeight="false" outlineLevel="0" collapsed="false">
      <c r="O77" s="10" t="str">
        <f aca="false">IF($A77="","","ROLLO-2026-"&amp;TEXT(ROW()-1,"000000"))</f>
        <v/>
      </c>
      <c r="P77" s="12" t="str">
        <f aca="false">IF(O77="","","*"&amp;O77&amp;"*")</f>
        <v/>
      </c>
    </row>
    <row r="78" customFormat="false" ht="22.05" hidden="false" customHeight="false" outlineLevel="0" collapsed="false">
      <c r="O78" s="10" t="str">
        <f aca="false">IF($A78="","","ROLLO-2026-"&amp;TEXT(ROW()-1,"000000"))</f>
        <v/>
      </c>
      <c r="P78" s="12" t="str">
        <f aca="false">IF(O78="","","*"&amp;O78&amp;"*")</f>
        <v/>
      </c>
    </row>
    <row r="79" customFormat="false" ht="22.05" hidden="false" customHeight="false" outlineLevel="0" collapsed="false">
      <c r="O79" s="10" t="str">
        <f aca="false">IF($A79="","","ROLLO-2026-"&amp;TEXT(ROW()-1,"000000"))</f>
        <v/>
      </c>
      <c r="P79" s="12" t="str">
        <f aca="false">IF(O79="","","*"&amp;O79&amp;"*")</f>
        <v/>
      </c>
    </row>
    <row r="80" customFormat="false" ht="22.05" hidden="false" customHeight="false" outlineLevel="0" collapsed="false">
      <c r="O80" s="10" t="str">
        <f aca="false">IF($A80="","","ROLLO-2026-"&amp;TEXT(ROW()-1,"000000"))</f>
        <v/>
      </c>
      <c r="P80" s="12" t="str">
        <f aca="false">IF(O80="","","*"&amp;O80&amp;"*")</f>
        <v/>
      </c>
    </row>
    <row r="81" customFormat="false" ht="22.05" hidden="false" customHeight="false" outlineLevel="0" collapsed="false">
      <c r="O81" s="10" t="str">
        <f aca="false">IF($A81="","","ROLLO-2026-"&amp;TEXT(ROW()-1,"000000"))</f>
        <v/>
      </c>
      <c r="P81" s="12" t="str">
        <f aca="false">IF(O81="","","*"&amp;O81&amp;"*")</f>
        <v/>
      </c>
    </row>
    <row r="82" customFormat="false" ht="22.05" hidden="false" customHeight="false" outlineLevel="0" collapsed="false">
      <c r="O82" s="10" t="str">
        <f aca="false">IF($A82="","","ROLLO-2026-"&amp;TEXT(ROW()-1,"000000"))</f>
        <v/>
      </c>
      <c r="P82" s="12" t="str">
        <f aca="false">IF(O82="","","*"&amp;O82&amp;"*")</f>
        <v/>
      </c>
    </row>
    <row r="83" customFormat="false" ht="22.05" hidden="false" customHeight="false" outlineLevel="0" collapsed="false">
      <c r="O83" s="10" t="str">
        <f aca="false">IF($A83="","","ROLLO-2026-"&amp;TEXT(ROW()-1,"000000"))</f>
        <v/>
      </c>
      <c r="P83" s="12" t="str">
        <f aca="false">IF(O83="","","*"&amp;O83&amp;"*")</f>
        <v/>
      </c>
    </row>
    <row r="84" customFormat="false" ht="22.05" hidden="false" customHeight="false" outlineLevel="0" collapsed="false">
      <c r="O84" s="10" t="str">
        <f aca="false">IF($A84="","","ROLLO-2026-"&amp;TEXT(ROW()-1,"000000"))</f>
        <v/>
      </c>
      <c r="P84" s="12" t="str">
        <f aca="false">IF(O84="","","*"&amp;O84&amp;"*")</f>
        <v/>
      </c>
    </row>
    <row r="85" customFormat="false" ht="22.05" hidden="false" customHeight="false" outlineLevel="0" collapsed="false">
      <c r="O85" s="10" t="str">
        <f aca="false">IF($A85="","","ROLLO-2026-"&amp;TEXT(ROW()-1,"000000"))</f>
        <v/>
      </c>
      <c r="P85" s="12" t="str">
        <f aca="false">IF(O85="","","*"&amp;O85&amp;"*")</f>
        <v/>
      </c>
    </row>
    <row r="86" customFormat="false" ht="22.05" hidden="false" customHeight="false" outlineLevel="0" collapsed="false">
      <c r="O86" s="10" t="str">
        <f aca="false">IF($A86="","","ROLLO-2026-"&amp;TEXT(ROW()-1,"000000"))</f>
        <v/>
      </c>
      <c r="P86" s="12" t="str">
        <f aca="false">IF(O86="","","*"&amp;O86&amp;"*")</f>
        <v/>
      </c>
    </row>
    <row r="87" customFormat="false" ht="22.05" hidden="false" customHeight="false" outlineLevel="0" collapsed="false">
      <c r="O87" s="10" t="str">
        <f aca="false">IF($A87="","","ROLLO-2026-"&amp;TEXT(ROW()-1,"000000"))</f>
        <v/>
      </c>
      <c r="P87" s="12" t="str">
        <f aca="false">IF(O87="","","*"&amp;O87&amp;"*")</f>
        <v/>
      </c>
    </row>
    <row r="88" customFormat="false" ht="22.05" hidden="false" customHeight="false" outlineLevel="0" collapsed="false">
      <c r="O88" s="10" t="str">
        <f aca="false">IF($A88="","","ROLLO-2026-"&amp;TEXT(ROW()-1,"000000"))</f>
        <v/>
      </c>
      <c r="P88" s="12" t="str">
        <f aca="false">IF(O88="","","*"&amp;O88&amp;"*")</f>
        <v/>
      </c>
    </row>
    <row r="89" customFormat="false" ht="22.05" hidden="false" customHeight="false" outlineLevel="0" collapsed="false">
      <c r="O89" s="10" t="str">
        <f aca="false">IF($A89="","","ROLLO-2026-"&amp;TEXT(ROW()-1,"000000"))</f>
        <v/>
      </c>
      <c r="P89" s="12" t="str">
        <f aca="false">IF(O89="","","*"&amp;O89&amp;"*")</f>
        <v/>
      </c>
    </row>
    <row r="90" customFormat="false" ht="22.05" hidden="false" customHeight="false" outlineLevel="0" collapsed="false">
      <c r="O90" s="10" t="str">
        <f aca="false">IF($A90="","","ROLLO-2026-"&amp;TEXT(ROW()-1,"000000"))</f>
        <v/>
      </c>
      <c r="P90" s="12" t="str">
        <f aca="false">IF(O90="","","*"&amp;O90&amp;"*")</f>
        <v/>
      </c>
    </row>
    <row r="91" customFormat="false" ht="22.05" hidden="false" customHeight="false" outlineLevel="0" collapsed="false">
      <c r="O91" s="10" t="str">
        <f aca="false">IF($A91="","","ROLLO-2026-"&amp;TEXT(ROW()-1,"000000"))</f>
        <v/>
      </c>
      <c r="P91" s="12" t="str">
        <f aca="false">IF(O91="","","*"&amp;O91&amp;"*")</f>
        <v/>
      </c>
    </row>
    <row r="92" customFormat="false" ht="22.05" hidden="false" customHeight="false" outlineLevel="0" collapsed="false">
      <c r="O92" s="10" t="str">
        <f aca="false">IF($A92="","","ROLLO-2026-"&amp;TEXT(ROW()-1,"000000"))</f>
        <v/>
      </c>
      <c r="P92" s="12" t="str">
        <f aca="false">IF(O92="","","*"&amp;O92&amp;"*")</f>
        <v/>
      </c>
    </row>
    <row r="93" customFormat="false" ht="22.05" hidden="false" customHeight="false" outlineLevel="0" collapsed="false">
      <c r="O93" s="10" t="str">
        <f aca="false">IF($A93="","","ROLLO-2026-"&amp;TEXT(ROW()-1,"000000"))</f>
        <v/>
      </c>
      <c r="P93" s="12" t="str">
        <f aca="false">IF(O93="","","*"&amp;O93&amp;"*")</f>
        <v/>
      </c>
    </row>
    <row r="94" customFormat="false" ht="22.05" hidden="false" customHeight="false" outlineLevel="0" collapsed="false">
      <c r="O94" s="10" t="str">
        <f aca="false">IF($A94="","","ROLLO-2026-"&amp;TEXT(ROW()-1,"000000"))</f>
        <v/>
      </c>
      <c r="P94" s="12" t="str">
        <f aca="false">IF(O94="","","*"&amp;O94&amp;"*")</f>
        <v/>
      </c>
    </row>
    <row r="95" customFormat="false" ht="22.05" hidden="false" customHeight="false" outlineLevel="0" collapsed="false">
      <c r="O95" s="10" t="str">
        <f aca="false">IF($A95="","","ROLLO-2026-"&amp;TEXT(ROW()-1,"000000"))</f>
        <v/>
      </c>
      <c r="P95" s="12" t="str">
        <f aca="false">IF(O95="","","*"&amp;O95&amp;"*")</f>
        <v/>
      </c>
    </row>
    <row r="96" customFormat="false" ht="22.05" hidden="false" customHeight="false" outlineLevel="0" collapsed="false">
      <c r="O96" s="10" t="str">
        <f aca="false">IF($A96="","","ROLLO-2026-"&amp;TEXT(ROW()-1,"000000"))</f>
        <v/>
      </c>
      <c r="P96" s="12" t="str">
        <f aca="false">IF(O96="","","*"&amp;O96&amp;"*")</f>
        <v/>
      </c>
    </row>
    <row r="97" customFormat="false" ht="22.05" hidden="false" customHeight="false" outlineLevel="0" collapsed="false">
      <c r="O97" s="10" t="str">
        <f aca="false">IF($A97="","","ROLLO-2026-"&amp;TEXT(ROW()-1,"000000"))</f>
        <v/>
      </c>
      <c r="P97" s="12" t="str">
        <f aca="false">IF(O97="","","*"&amp;O97&amp;"*")</f>
        <v/>
      </c>
    </row>
    <row r="98" customFormat="false" ht="22.05" hidden="false" customHeight="false" outlineLevel="0" collapsed="false">
      <c r="O98" s="10" t="str">
        <f aca="false">IF($A98="","","ROLLO-2026-"&amp;TEXT(ROW()-1,"000000"))</f>
        <v/>
      </c>
      <c r="P98" s="12" t="str">
        <f aca="false">IF(O98="","","*"&amp;O98&amp;"*")</f>
        <v/>
      </c>
    </row>
    <row r="99" customFormat="false" ht="22.05" hidden="false" customHeight="false" outlineLevel="0" collapsed="false">
      <c r="O99" s="10" t="str">
        <f aca="false">IF($A99="","","ROLLO-2026-"&amp;TEXT(ROW()-1,"000000"))</f>
        <v/>
      </c>
      <c r="P99" s="12" t="str">
        <f aca="false">IF(O99="","","*"&amp;O99&amp;"*")</f>
        <v/>
      </c>
    </row>
    <row r="100" customFormat="false" ht="22.05" hidden="false" customHeight="false" outlineLevel="0" collapsed="false">
      <c r="O100" s="10" t="str">
        <f aca="false">IF($A100="","","ROLLO-2026-"&amp;TEXT(ROW()-1,"000000"))</f>
        <v/>
      </c>
      <c r="P100" s="12" t="str">
        <f aca="false">IF(O100="","","*"&amp;O100&amp;"*")</f>
        <v/>
      </c>
    </row>
    <row r="101" customFormat="false" ht="22.05" hidden="false" customHeight="false" outlineLevel="0" collapsed="false">
      <c r="O101" s="10" t="str">
        <f aca="false">IF($A101="","","ROLLO-2026-"&amp;TEXT(ROW()-1,"000000"))</f>
        <v/>
      </c>
      <c r="P101" s="12" t="str">
        <f aca="false">IF(O101="","","*"&amp;O101&amp;"*")</f>
        <v/>
      </c>
    </row>
    <row r="102" customFormat="false" ht="22.05" hidden="false" customHeight="false" outlineLevel="0" collapsed="false">
      <c r="O102" s="10" t="str">
        <f aca="false">IF($A102="","","ROLLO-2026-"&amp;TEXT(ROW()-1,"000000"))</f>
        <v/>
      </c>
      <c r="P102" s="12" t="str">
        <f aca="false">IF(O102="","","*"&amp;O102&amp;"*")</f>
        <v/>
      </c>
    </row>
    <row r="103" customFormat="false" ht="22.05" hidden="false" customHeight="false" outlineLevel="0" collapsed="false">
      <c r="O103" s="10" t="str">
        <f aca="false">IF($A103="","","ROLLO-2026-"&amp;TEXT(ROW()-1,"000000"))</f>
        <v/>
      </c>
      <c r="P103" s="12" t="str">
        <f aca="false">IF(O103="","","*"&amp;O103&amp;"*")</f>
        <v/>
      </c>
    </row>
    <row r="104" customFormat="false" ht="22.05" hidden="false" customHeight="false" outlineLevel="0" collapsed="false">
      <c r="O104" s="10" t="str">
        <f aca="false">IF($A104="","","ROLLO-2026-"&amp;TEXT(ROW()-1,"000000"))</f>
        <v/>
      </c>
      <c r="P104" s="12" t="str">
        <f aca="false">IF(O104="","","*"&amp;O104&amp;"*")</f>
        <v/>
      </c>
    </row>
    <row r="105" customFormat="false" ht="22.05" hidden="false" customHeight="false" outlineLevel="0" collapsed="false">
      <c r="O105" s="10" t="str">
        <f aca="false">IF($A105="","","ROLLO-2026-"&amp;TEXT(ROW()-1,"000000"))</f>
        <v/>
      </c>
      <c r="P105" s="12" t="str">
        <f aca="false">IF(O105="","","*"&amp;O105&amp;"*")</f>
        <v/>
      </c>
    </row>
    <row r="106" customFormat="false" ht="22.05" hidden="false" customHeight="false" outlineLevel="0" collapsed="false">
      <c r="O106" s="10" t="str">
        <f aca="false">IF($A106="","","ROLLO-2026-"&amp;TEXT(ROW()-1,"000000"))</f>
        <v/>
      </c>
      <c r="P106" s="12" t="str">
        <f aca="false">IF(O106="","","*"&amp;O106&amp;"*")</f>
        <v/>
      </c>
    </row>
    <row r="107" customFormat="false" ht="22.05" hidden="false" customHeight="false" outlineLevel="0" collapsed="false">
      <c r="O107" s="10" t="str">
        <f aca="false">IF($A107="","","ROLLO-2026-"&amp;TEXT(ROW()-1,"000000"))</f>
        <v/>
      </c>
      <c r="P107" s="12" t="str">
        <f aca="false">IF(O107="","","*"&amp;O107&amp;"*")</f>
        <v/>
      </c>
    </row>
    <row r="108" customFormat="false" ht="22.05" hidden="false" customHeight="false" outlineLevel="0" collapsed="false">
      <c r="O108" s="10" t="str">
        <f aca="false">IF($A108="","","ROLLO-2026-"&amp;TEXT(ROW()-1,"000000"))</f>
        <v/>
      </c>
      <c r="P108" s="12" t="str">
        <f aca="false">IF(O108="","","*"&amp;O108&amp;"*")</f>
        <v/>
      </c>
    </row>
    <row r="109" customFormat="false" ht="22.05" hidden="false" customHeight="false" outlineLevel="0" collapsed="false">
      <c r="O109" s="10" t="str">
        <f aca="false">IF($A109="","","ROLLO-2026-"&amp;TEXT(ROW()-1,"000000"))</f>
        <v/>
      </c>
      <c r="P109" s="12" t="str">
        <f aca="false">IF(O109="","","*"&amp;O109&amp;"*")</f>
        <v/>
      </c>
    </row>
    <row r="110" customFormat="false" ht="22.05" hidden="false" customHeight="false" outlineLevel="0" collapsed="false">
      <c r="O110" s="10" t="str">
        <f aca="false">IF($A110="","","ROLLO-2026-"&amp;TEXT(ROW()-1,"000000"))</f>
        <v/>
      </c>
      <c r="P110" s="12" t="str">
        <f aca="false">IF(O110="","","*"&amp;O110&amp;"*")</f>
        <v/>
      </c>
    </row>
    <row r="111" customFormat="false" ht="22.05" hidden="false" customHeight="false" outlineLevel="0" collapsed="false">
      <c r="O111" s="10" t="str">
        <f aca="false">IF($A111="","","ROLLO-2026-"&amp;TEXT(ROW()-1,"000000"))</f>
        <v/>
      </c>
      <c r="P111" s="12" t="str">
        <f aca="false">IF(O111="","","*"&amp;O111&amp;"*")</f>
        <v/>
      </c>
    </row>
    <row r="112" customFormat="false" ht="22.05" hidden="false" customHeight="false" outlineLevel="0" collapsed="false">
      <c r="O112" s="10" t="str">
        <f aca="false">IF($A112="","","ROLLO-2026-"&amp;TEXT(ROW()-1,"000000"))</f>
        <v/>
      </c>
      <c r="P112" s="12" t="str">
        <f aca="false">IF(O112="","","*"&amp;O112&amp;"*")</f>
        <v/>
      </c>
    </row>
    <row r="113" customFormat="false" ht="22.05" hidden="false" customHeight="false" outlineLevel="0" collapsed="false">
      <c r="O113" s="10" t="str">
        <f aca="false">IF($A113="","","ROLLO-2026-"&amp;TEXT(ROW()-1,"000000"))</f>
        <v/>
      </c>
      <c r="P113" s="12" t="str">
        <f aca="false">IF(O113="","","*"&amp;O113&amp;"*")</f>
        <v/>
      </c>
    </row>
    <row r="114" customFormat="false" ht="22.05" hidden="false" customHeight="false" outlineLevel="0" collapsed="false">
      <c r="O114" s="10" t="str">
        <f aca="false">IF($A114="","","ROLLO-2026-"&amp;TEXT(ROW()-1,"000000"))</f>
        <v/>
      </c>
      <c r="P114" s="12" t="str">
        <f aca="false">IF(O114="","","*"&amp;O114&amp;"*")</f>
        <v/>
      </c>
    </row>
    <row r="115" customFormat="false" ht="22.05" hidden="false" customHeight="false" outlineLevel="0" collapsed="false">
      <c r="O115" s="10" t="str">
        <f aca="false">IF($A115="","","ROLLO-2026-"&amp;TEXT(ROW()-1,"000000"))</f>
        <v/>
      </c>
      <c r="P115" s="12" t="str">
        <f aca="false">IF(O115="","","*"&amp;O115&amp;"*")</f>
        <v/>
      </c>
    </row>
    <row r="116" customFormat="false" ht="22.05" hidden="false" customHeight="false" outlineLevel="0" collapsed="false">
      <c r="O116" s="10" t="str">
        <f aca="false">IF($A116="","","ROLLO-2026-"&amp;TEXT(ROW()-1,"000000"))</f>
        <v/>
      </c>
      <c r="P116" s="12" t="str">
        <f aca="false">IF(O116="","","*"&amp;O116&amp;"*")</f>
        <v/>
      </c>
    </row>
    <row r="117" customFormat="false" ht="22.05" hidden="false" customHeight="false" outlineLevel="0" collapsed="false">
      <c r="O117" s="10" t="str">
        <f aca="false">IF($A117="","","ROLLO-2026-"&amp;TEXT(ROW()-1,"000000"))</f>
        <v/>
      </c>
      <c r="P117" s="12" t="str">
        <f aca="false">IF(O117="","","*"&amp;O117&amp;"*")</f>
        <v/>
      </c>
    </row>
    <row r="118" customFormat="false" ht="22.05" hidden="false" customHeight="false" outlineLevel="0" collapsed="false">
      <c r="O118" s="10" t="str">
        <f aca="false">IF($A118="","","ROLLO-2026-"&amp;TEXT(ROW()-1,"000000"))</f>
        <v/>
      </c>
      <c r="P118" s="12" t="str">
        <f aca="false">IF(O118="","","*"&amp;O118&amp;"*")</f>
        <v/>
      </c>
    </row>
    <row r="119" customFormat="false" ht="22.05" hidden="false" customHeight="false" outlineLevel="0" collapsed="false">
      <c r="O119" s="10" t="str">
        <f aca="false">IF($A119="","","ROLLO-2026-"&amp;TEXT(ROW()-1,"000000"))</f>
        <v/>
      </c>
      <c r="P119" s="12" t="str">
        <f aca="false">IF(O119="","","*"&amp;O119&amp;"*")</f>
        <v/>
      </c>
    </row>
    <row r="120" customFormat="false" ht="22.05" hidden="false" customHeight="false" outlineLevel="0" collapsed="false">
      <c r="O120" s="10" t="str">
        <f aca="false">IF($A120="","","ROLLO-2026-"&amp;TEXT(ROW()-1,"000000"))</f>
        <v/>
      </c>
      <c r="P120" s="12" t="str">
        <f aca="false">IF(O120="","","*"&amp;O120&amp;"*")</f>
        <v/>
      </c>
    </row>
    <row r="121" customFormat="false" ht="22.05" hidden="false" customHeight="false" outlineLevel="0" collapsed="false">
      <c r="O121" s="10" t="str">
        <f aca="false">IF($A121="","","ROLLO-2026-"&amp;TEXT(ROW()-1,"000000"))</f>
        <v/>
      </c>
      <c r="P121" s="12" t="str">
        <f aca="false">IF(O121="","","*"&amp;O121&amp;"*")</f>
        <v/>
      </c>
    </row>
    <row r="122" customFormat="false" ht="22.05" hidden="false" customHeight="false" outlineLevel="0" collapsed="false">
      <c r="O122" s="10" t="str">
        <f aca="false">IF($A122="","","ROLLO-2026-"&amp;TEXT(ROW()-1,"000000"))</f>
        <v/>
      </c>
      <c r="P122" s="12" t="str">
        <f aca="false">IF(O122="","","*"&amp;O122&amp;"*")</f>
        <v/>
      </c>
    </row>
    <row r="123" customFormat="false" ht="22.05" hidden="false" customHeight="false" outlineLevel="0" collapsed="false">
      <c r="O123" s="10" t="str">
        <f aca="false">IF($A123="","","ROLLO-2026-"&amp;TEXT(ROW()-1,"000000"))</f>
        <v/>
      </c>
      <c r="P123" s="12" t="str">
        <f aca="false">IF(O123="","","*"&amp;O123&amp;"*")</f>
        <v/>
      </c>
    </row>
    <row r="124" customFormat="false" ht="22.05" hidden="false" customHeight="false" outlineLevel="0" collapsed="false">
      <c r="O124" s="10" t="str">
        <f aca="false">IF($A124="","","ROLLO-2026-"&amp;TEXT(ROW()-1,"000000"))</f>
        <v/>
      </c>
      <c r="P124" s="12" t="str">
        <f aca="false">IF(O124="","","*"&amp;O124&amp;"*")</f>
        <v/>
      </c>
    </row>
    <row r="125" customFormat="false" ht="22.05" hidden="false" customHeight="false" outlineLevel="0" collapsed="false">
      <c r="O125" s="10" t="str">
        <f aca="false">IF($A125="","","ROLLO-2026-"&amp;TEXT(ROW()-1,"000000"))</f>
        <v/>
      </c>
      <c r="P125" s="12" t="str">
        <f aca="false">IF(O125="","","*"&amp;O125&amp;"*")</f>
        <v/>
      </c>
    </row>
    <row r="126" customFormat="false" ht="22.05" hidden="false" customHeight="false" outlineLevel="0" collapsed="false">
      <c r="O126" s="10" t="str">
        <f aca="false">IF($A126="","","ROLLO-2026-"&amp;TEXT(ROW()-1,"000000"))</f>
        <v/>
      </c>
      <c r="P126" s="12" t="str">
        <f aca="false">IF(O126="","","*"&amp;O126&amp;"*")</f>
        <v/>
      </c>
    </row>
    <row r="127" customFormat="false" ht="22.05" hidden="false" customHeight="false" outlineLevel="0" collapsed="false">
      <c r="O127" s="10" t="str">
        <f aca="false">IF($A127="","","ROLLO-2026-"&amp;TEXT(ROW()-1,"000000"))</f>
        <v/>
      </c>
      <c r="P127" s="12" t="str">
        <f aca="false">IF(O127="","","*"&amp;O127&amp;"*")</f>
        <v/>
      </c>
    </row>
    <row r="128" customFormat="false" ht="22.05" hidden="false" customHeight="false" outlineLevel="0" collapsed="false">
      <c r="O128" s="10" t="str">
        <f aca="false">IF($A128="","","ROLLO-2026-"&amp;TEXT(ROW()-1,"000000"))</f>
        <v/>
      </c>
      <c r="P128" s="12" t="str">
        <f aca="false">IF(O128="","","*"&amp;O128&amp;"*")</f>
        <v/>
      </c>
    </row>
    <row r="129" customFormat="false" ht="22.05" hidden="false" customHeight="false" outlineLevel="0" collapsed="false">
      <c r="O129" s="10" t="str">
        <f aca="false">IF($A129="","","ROLLO-2026-"&amp;TEXT(ROW()-1,"000000"))</f>
        <v/>
      </c>
      <c r="P129" s="12" t="str">
        <f aca="false">IF(O129="","","*"&amp;O129&amp;"*")</f>
        <v/>
      </c>
    </row>
    <row r="130" customFormat="false" ht="22.05" hidden="false" customHeight="false" outlineLevel="0" collapsed="false">
      <c r="O130" s="10" t="str">
        <f aca="false">IF($A130="","","ROLLO-2026-"&amp;TEXT(ROW()-1,"000000"))</f>
        <v/>
      </c>
      <c r="P130" s="12" t="str">
        <f aca="false">IF(O130="","","*"&amp;O130&amp;"*")</f>
        <v/>
      </c>
    </row>
    <row r="131" customFormat="false" ht="22.05" hidden="false" customHeight="false" outlineLevel="0" collapsed="false">
      <c r="O131" s="10" t="str">
        <f aca="false">IF($A131="","","ROLLO-2026-"&amp;TEXT(ROW()-1,"000000"))</f>
        <v/>
      </c>
      <c r="P131" s="12" t="str">
        <f aca="false">IF(O131="","","*"&amp;O131&amp;"*")</f>
        <v/>
      </c>
    </row>
    <row r="132" customFormat="false" ht="22.05" hidden="false" customHeight="false" outlineLevel="0" collapsed="false">
      <c r="O132" s="10" t="str">
        <f aca="false">IF($A132="","","ROLLO-2026-"&amp;TEXT(ROW()-1,"000000"))</f>
        <v/>
      </c>
      <c r="P132" s="12" t="str">
        <f aca="false">IF(O132="","","*"&amp;O132&amp;"*")</f>
        <v/>
      </c>
    </row>
    <row r="133" customFormat="false" ht="22.05" hidden="false" customHeight="false" outlineLevel="0" collapsed="false">
      <c r="O133" s="10" t="str">
        <f aca="false">IF($A133="","","ROLLO-2026-"&amp;TEXT(ROW()-1,"000000"))</f>
        <v/>
      </c>
      <c r="P133" s="12" t="str">
        <f aca="false">IF(O133="","","*"&amp;O133&amp;"*")</f>
        <v/>
      </c>
    </row>
    <row r="134" customFormat="false" ht="22.05" hidden="false" customHeight="false" outlineLevel="0" collapsed="false">
      <c r="O134" s="10" t="str">
        <f aca="false">IF($A134="","","ROLLO-2026-"&amp;TEXT(ROW()-1,"000000"))</f>
        <v/>
      </c>
      <c r="P134" s="12" t="str">
        <f aca="false">IF(O134="","","*"&amp;O134&amp;"*")</f>
        <v/>
      </c>
    </row>
    <row r="135" customFormat="false" ht="22.05" hidden="false" customHeight="false" outlineLevel="0" collapsed="false">
      <c r="O135" s="10" t="str">
        <f aca="false">IF($A135="","","ROLLO-2026-"&amp;TEXT(ROW()-1,"000000"))</f>
        <v/>
      </c>
      <c r="P135" s="12" t="str">
        <f aca="false">IF(O135="","","*"&amp;O135&amp;"*")</f>
        <v/>
      </c>
    </row>
    <row r="136" customFormat="false" ht="22.05" hidden="false" customHeight="false" outlineLevel="0" collapsed="false">
      <c r="O136" s="10" t="str">
        <f aca="false">IF($A136="","","ROLLO-2026-"&amp;TEXT(ROW()-1,"000000"))</f>
        <v/>
      </c>
      <c r="P136" s="12" t="str">
        <f aca="false">IF(O136="","","*"&amp;O136&amp;"*")</f>
        <v/>
      </c>
    </row>
    <row r="137" customFormat="false" ht="22.05" hidden="false" customHeight="false" outlineLevel="0" collapsed="false">
      <c r="O137" s="10" t="str">
        <f aca="false">IF($A137="","","ROLLO-2026-"&amp;TEXT(ROW()-1,"000000"))</f>
        <v/>
      </c>
      <c r="P137" s="12" t="str">
        <f aca="false">IF(O137="","","*"&amp;O137&amp;"*")</f>
        <v/>
      </c>
    </row>
    <row r="138" customFormat="false" ht="22.05" hidden="false" customHeight="false" outlineLevel="0" collapsed="false">
      <c r="O138" s="10" t="str">
        <f aca="false">IF($A138="","","ROLLO-2026-"&amp;TEXT(ROW()-1,"000000"))</f>
        <v/>
      </c>
      <c r="P138" s="12" t="str">
        <f aca="false">IF(O138="","","*"&amp;O138&amp;"*")</f>
        <v/>
      </c>
    </row>
    <row r="139" customFormat="false" ht="22.05" hidden="false" customHeight="false" outlineLevel="0" collapsed="false">
      <c r="O139" s="10" t="str">
        <f aca="false">IF($A139="","","ROLLO-2026-"&amp;TEXT(ROW()-1,"000000"))</f>
        <v/>
      </c>
      <c r="P139" s="12" t="str">
        <f aca="false">IF(O139="","","*"&amp;O139&amp;"*")</f>
        <v/>
      </c>
    </row>
    <row r="140" customFormat="false" ht="22.05" hidden="false" customHeight="false" outlineLevel="0" collapsed="false">
      <c r="O140" s="10" t="str">
        <f aca="false">IF($A140="","","ROLLO-2026-"&amp;TEXT(ROW()-1,"000000"))</f>
        <v/>
      </c>
      <c r="P140" s="12" t="str">
        <f aca="false">IF(O140="","","*"&amp;O140&amp;"*")</f>
        <v/>
      </c>
    </row>
    <row r="141" customFormat="false" ht="22.05" hidden="false" customHeight="false" outlineLevel="0" collapsed="false">
      <c r="O141" s="10" t="str">
        <f aca="false">IF($A141="","","ROLLO-2026-"&amp;TEXT(ROW()-1,"000000"))</f>
        <v/>
      </c>
      <c r="P141" s="12" t="str">
        <f aca="false">IF(O141="","","*"&amp;O141&amp;"*")</f>
        <v/>
      </c>
    </row>
    <row r="142" customFormat="false" ht="22.05" hidden="false" customHeight="false" outlineLevel="0" collapsed="false">
      <c r="O142" s="10" t="str">
        <f aca="false">IF($A142="","","ROLLO-2026-"&amp;TEXT(ROW()-1,"000000"))</f>
        <v/>
      </c>
      <c r="P142" s="12" t="str">
        <f aca="false">IF(O142="","","*"&amp;O142&amp;"*")</f>
        <v/>
      </c>
    </row>
    <row r="143" customFormat="false" ht="22.05" hidden="false" customHeight="false" outlineLevel="0" collapsed="false">
      <c r="O143" s="10" t="str">
        <f aca="false">IF($A143="","","ROLLO-2026-"&amp;TEXT(ROW()-1,"000000"))</f>
        <v/>
      </c>
      <c r="P143" s="12" t="str">
        <f aca="false">IF(O143="","","*"&amp;O143&amp;"*")</f>
        <v/>
      </c>
    </row>
    <row r="144" customFormat="false" ht="22.05" hidden="false" customHeight="false" outlineLevel="0" collapsed="false">
      <c r="O144" s="10" t="str">
        <f aca="false">IF($A144="","","ROLLO-2026-"&amp;TEXT(ROW()-1,"000000"))</f>
        <v/>
      </c>
      <c r="P144" s="12" t="str">
        <f aca="false">IF(O144="","","*"&amp;O144&amp;"*")</f>
        <v/>
      </c>
    </row>
    <row r="145" customFormat="false" ht="22.05" hidden="false" customHeight="false" outlineLevel="0" collapsed="false">
      <c r="O145" s="10" t="str">
        <f aca="false">IF($A145="","","ROLLO-2026-"&amp;TEXT(ROW()-1,"000000"))</f>
        <v/>
      </c>
      <c r="P145" s="12" t="str">
        <f aca="false">IF(O145="","","*"&amp;O145&amp;"*")</f>
        <v/>
      </c>
    </row>
    <row r="146" customFormat="false" ht="22.05" hidden="false" customHeight="false" outlineLevel="0" collapsed="false">
      <c r="O146" s="10" t="str">
        <f aca="false">IF($A146="","","ROLLO-2026-"&amp;TEXT(ROW()-1,"000000"))</f>
        <v/>
      </c>
      <c r="P146" s="12" t="str">
        <f aca="false">IF(O146="","","*"&amp;O146&amp;"*")</f>
        <v/>
      </c>
    </row>
    <row r="147" customFormat="false" ht="22.05" hidden="false" customHeight="false" outlineLevel="0" collapsed="false">
      <c r="O147" s="10" t="str">
        <f aca="false">IF($A147="","","ROLLO-2026-"&amp;TEXT(ROW()-1,"000000"))</f>
        <v/>
      </c>
      <c r="P147" s="12" t="str">
        <f aca="false">IF(O147="","","*"&amp;O147&amp;"*")</f>
        <v/>
      </c>
    </row>
    <row r="148" customFormat="false" ht="22.05" hidden="false" customHeight="false" outlineLevel="0" collapsed="false">
      <c r="O148" s="10" t="str">
        <f aca="false">IF($A148="","","ROLLO-2026-"&amp;TEXT(ROW()-1,"000000"))</f>
        <v/>
      </c>
      <c r="P148" s="12" t="str">
        <f aca="false">IF(O148="","","*"&amp;O148&amp;"*")</f>
        <v/>
      </c>
    </row>
    <row r="149" customFormat="false" ht="22.05" hidden="false" customHeight="false" outlineLevel="0" collapsed="false">
      <c r="O149" s="10" t="str">
        <f aca="false">IF($A149="","","ROLLO-2026-"&amp;TEXT(ROW()-1,"000000"))</f>
        <v/>
      </c>
      <c r="P149" s="12" t="str">
        <f aca="false">IF(O149="","","*"&amp;O149&amp;"*")</f>
        <v/>
      </c>
    </row>
    <row r="150" customFormat="false" ht="22.05" hidden="false" customHeight="false" outlineLevel="0" collapsed="false">
      <c r="O150" s="10" t="str">
        <f aca="false">IF($A150="","","ROLLO-2026-"&amp;TEXT(ROW()-1,"000000"))</f>
        <v/>
      </c>
      <c r="P150" s="12" t="str">
        <f aca="false">IF(O150="","","*"&amp;O150&amp;"*")</f>
        <v/>
      </c>
    </row>
    <row r="151" customFormat="false" ht="22.05" hidden="false" customHeight="false" outlineLevel="0" collapsed="false">
      <c r="O151" s="10" t="str">
        <f aca="false">IF($A151="","","ROLLO-2026-"&amp;TEXT(ROW()-1,"000000"))</f>
        <v/>
      </c>
      <c r="P151" s="12" t="str">
        <f aca="false">IF(O151="","","*"&amp;O151&amp;"*")</f>
        <v/>
      </c>
    </row>
    <row r="152" customFormat="false" ht="22.05" hidden="false" customHeight="false" outlineLevel="0" collapsed="false">
      <c r="O152" s="10" t="str">
        <f aca="false">IF($A152="","","ROLLO-2026-"&amp;TEXT(ROW()-1,"000000"))</f>
        <v/>
      </c>
      <c r="P152" s="12" t="str">
        <f aca="false">IF(O152="","","*"&amp;O152&amp;"*")</f>
        <v/>
      </c>
    </row>
    <row r="153" customFormat="false" ht="22.05" hidden="false" customHeight="false" outlineLevel="0" collapsed="false">
      <c r="O153" s="10" t="str">
        <f aca="false">IF($A153="","","ROLLO-2026-"&amp;TEXT(ROW()-1,"000000"))</f>
        <v/>
      </c>
      <c r="P153" s="12" t="str">
        <f aca="false">IF(O153="","","*"&amp;O153&amp;"*")</f>
        <v/>
      </c>
    </row>
    <row r="154" customFormat="false" ht="22.05" hidden="false" customHeight="false" outlineLevel="0" collapsed="false">
      <c r="O154" s="10" t="str">
        <f aca="false">IF($A154="","","ROLLO-2026-"&amp;TEXT(ROW()-1,"000000"))</f>
        <v/>
      </c>
      <c r="P154" s="12" t="str">
        <f aca="false">IF(O154="","","*"&amp;O154&amp;"*")</f>
        <v/>
      </c>
    </row>
    <row r="155" customFormat="false" ht="22.05" hidden="false" customHeight="false" outlineLevel="0" collapsed="false">
      <c r="O155" s="10" t="str">
        <f aca="false">IF($A155="","","ROLLO-2026-"&amp;TEXT(ROW()-1,"000000"))</f>
        <v/>
      </c>
      <c r="P155" s="12" t="str">
        <f aca="false">IF(O155="","","*"&amp;O155&amp;"*")</f>
        <v/>
      </c>
    </row>
    <row r="156" customFormat="false" ht="22.05" hidden="false" customHeight="false" outlineLevel="0" collapsed="false">
      <c r="O156" s="10" t="str">
        <f aca="false">IF($A156="","","ROLLO-2026-"&amp;TEXT(ROW()-1,"000000"))</f>
        <v/>
      </c>
      <c r="P156" s="12" t="str">
        <f aca="false">IF(O156="","","*"&amp;O156&amp;"*")</f>
        <v/>
      </c>
    </row>
    <row r="157" customFormat="false" ht="22.05" hidden="false" customHeight="false" outlineLevel="0" collapsed="false">
      <c r="O157" s="10" t="str">
        <f aca="false">IF($A157="","","ROLLO-2026-"&amp;TEXT(ROW()-1,"000000"))</f>
        <v/>
      </c>
      <c r="P157" s="12" t="str">
        <f aca="false">IF(O157="","","*"&amp;O157&amp;"*")</f>
        <v/>
      </c>
    </row>
    <row r="158" customFormat="false" ht="22.05" hidden="false" customHeight="false" outlineLevel="0" collapsed="false">
      <c r="O158" s="10" t="str">
        <f aca="false">IF($A158="","","ROLLO-2026-"&amp;TEXT(ROW()-1,"000000"))</f>
        <v/>
      </c>
      <c r="P158" s="12" t="str">
        <f aca="false">IF(O158="","","*"&amp;O158&amp;"*")</f>
        <v/>
      </c>
    </row>
    <row r="159" customFormat="false" ht="22.05" hidden="false" customHeight="false" outlineLevel="0" collapsed="false">
      <c r="O159" s="10" t="str">
        <f aca="false">IF($A159="","","ROLLO-2026-"&amp;TEXT(ROW()-1,"000000"))</f>
        <v/>
      </c>
      <c r="P159" s="12" t="str">
        <f aca="false">IF(O159="","","*"&amp;O159&amp;"*")</f>
        <v/>
      </c>
    </row>
    <row r="160" customFormat="false" ht="22.05" hidden="false" customHeight="false" outlineLevel="0" collapsed="false">
      <c r="O160" s="10" t="str">
        <f aca="false">IF($A160="","","ROLLO-2026-"&amp;TEXT(ROW()-1,"000000"))</f>
        <v/>
      </c>
      <c r="P160" s="12" t="str">
        <f aca="false">IF(O160="","","*"&amp;O160&amp;"*")</f>
        <v/>
      </c>
    </row>
    <row r="161" customFormat="false" ht="22.05" hidden="false" customHeight="false" outlineLevel="0" collapsed="false">
      <c r="O161" s="10" t="str">
        <f aca="false">IF($A161="","","ROLLO-2026-"&amp;TEXT(ROW()-1,"000000"))</f>
        <v/>
      </c>
      <c r="P161" s="12" t="str">
        <f aca="false">IF(O161="","","*"&amp;O161&amp;"*")</f>
        <v/>
      </c>
    </row>
    <row r="162" customFormat="false" ht="22.05" hidden="false" customHeight="false" outlineLevel="0" collapsed="false">
      <c r="O162" s="10" t="str">
        <f aca="false">IF($A162="","","ROLLO-2026-"&amp;TEXT(ROW()-1,"000000"))</f>
        <v/>
      </c>
      <c r="P162" s="12" t="str">
        <f aca="false">IF(O162="","","*"&amp;O162&amp;"*")</f>
        <v/>
      </c>
    </row>
    <row r="163" customFormat="false" ht="22.05" hidden="false" customHeight="false" outlineLevel="0" collapsed="false">
      <c r="O163" s="10" t="str">
        <f aca="false">IF($A163="","","ROLLO-2026-"&amp;TEXT(ROW()-1,"000000"))</f>
        <v/>
      </c>
      <c r="P163" s="12" t="str">
        <f aca="false">IF(O163="","","*"&amp;O163&amp;"*")</f>
        <v/>
      </c>
    </row>
    <row r="164" customFormat="false" ht="22.05" hidden="false" customHeight="false" outlineLevel="0" collapsed="false">
      <c r="O164" s="10" t="str">
        <f aca="false">IF($A164="","","ROLLO-2026-"&amp;TEXT(ROW()-1,"000000"))</f>
        <v/>
      </c>
      <c r="P164" s="12" t="str">
        <f aca="false">IF(O164="","","*"&amp;O164&amp;"*")</f>
        <v/>
      </c>
    </row>
    <row r="165" customFormat="false" ht="22.05" hidden="false" customHeight="false" outlineLevel="0" collapsed="false">
      <c r="O165" s="10" t="str">
        <f aca="false">IF($A165="","","ROLLO-2026-"&amp;TEXT(ROW()-1,"000000"))</f>
        <v/>
      </c>
      <c r="P165" s="12" t="str">
        <f aca="false">IF(O165="","","*"&amp;O165&amp;"*")</f>
        <v/>
      </c>
    </row>
    <row r="166" customFormat="false" ht="22.05" hidden="false" customHeight="false" outlineLevel="0" collapsed="false">
      <c r="O166" s="10" t="str">
        <f aca="false">IF($A166="","","ROLLO-2026-"&amp;TEXT(ROW()-1,"000000"))</f>
        <v/>
      </c>
      <c r="P166" s="12" t="str">
        <f aca="false">IF(O166="","","*"&amp;O166&amp;"*")</f>
        <v/>
      </c>
    </row>
    <row r="167" customFormat="false" ht="22.05" hidden="false" customHeight="false" outlineLevel="0" collapsed="false">
      <c r="O167" s="10" t="str">
        <f aca="false">IF($A167="","","ROLLO-2026-"&amp;TEXT(ROW()-1,"000000"))</f>
        <v/>
      </c>
      <c r="P167" s="12" t="str">
        <f aca="false">IF(O167="","","*"&amp;O167&amp;"*")</f>
        <v/>
      </c>
    </row>
    <row r="168" customFormat="false" ht="22.05" hidden="false" customHeight="false" outlineLevel="0" collapsed="false">
      <c r="O168" s="10" t="str">
        <f aca="false">IF($A168="","","ROLLO-2026-"&amp;TEXT(ROW()-1,"000000"))</f>
        <v/>
      </c>
      <c r="P168" s="12" t="str">
        <f aca="false">IF(O168="","","*"&amp;O168&amp;"*")</f>
        <v/>
      </c>
    </row>
    <row r="169" customFormat="false" ht="22.05" hidden="false" customHeight="false" outlineLevel="0" collapsed="false">
      <c r="O169" s="10" t="str">
        <f aca="false">IF($A169="","","ROLLO-2026-"&amp;TEXT(ROW()-1,"000000"))</f>
        <v/>
      </c>
      <c r="P169" s="12" t="str">
        <f aca="false">IF(O169="","","*"&amp;O169&amp;"*")</f>
        <v/>
      </c>
    </row>
    <row r="170" customFormat="false" ht="22.05" hidden="false" customHeight="false" outlineLevel="0" collapsed="false">
      <c r="O170" s="10" t="str">
        <f aca="false">IF($A170="","","ROLLO-2026-"&amp;TEXT(ROW()-1,"000000"))</f>
        <v/>
      </c>
      <c r="P170" s="12" t="str">
        <f aca="false">IF(O170="","","*"&amp;O170&amp;"*")</f>
        <v/>
      </c>
    </row>
    <row r="171" customFormat="false" ht="22.05" hidden="false" customHeight="false" outlineLevel="0" collapsed="false">
      <c r="O171" s="10" t="str">
        <f aca="false">IF($A171="","","ROLLO-2026-"&amp;TEXT(ROW()-1,"000000"))</f>
        <v/>
      </c>
      <c r="P171" s="12" t="str">
        <f aca="false">IF(O171="","","*"&amp;O171&amp;"*")</f>
        <v/>
      </c>
    </row>
    <row r="172" customFormat="false" ht="22.05" hidden="false" customHeight="false" outlineLevel="0" collapsed="false">
      <c r="O172" s="10" t="str">
        <f aca="false">IF($A172="","","ROLLO-2026-"&amp;TEXT(ROW()-1,"000000"))</f>
        <v/>
      </c>
      <c r="P172" s="12" t="str">
        <f aca="false">IF(O172="","","*"&amp;O172&amp;"*")</f>
        <v/>
      </c>
    </row>
    <row r="173" customFormat="false" ht="22.05" hidden="false" customHeight="false" outlineLevel="0" collapsed="false">
      <c r="O173" s="10" t="str">
        <f aca="false">IF($A173="","","ROLLO-2026-"&amp;TEXT(ROW()-1,"000000"))</f>
        <v/>
      </c>
      <c r="P173" s="12" t="str">
        <f aca="false">IF(O173="","","*"&amp;O173&amp;"*")</f>
        <v/>
      </c>
    </row>
    <row r="174" customFormat="false" ht="22.05" hidden="false" customHeight="false" outlineLevel="0" collapsed="false">
      <c r="O174" s="10" t="str">
        <f aca="false">IF($A174="","","ROLLO-2026-"&amp;TEXT(ROW()-1,"000000"))</f>
        <v/>
      </c>
      <c r="P174" s="12" t="str">
        <f aca="false">IF(O174="","","*"&amp;O174&amp;"*")</f>
        <v/>
      </c>
    </row>
    <row r="175" customFormat="false" ht="22.05" hidden="false" customHeight="false" outlineLevel="0" collapsed="false">
      <c r="O175" s="10" t="str">
        <f aca="false">IF($A175="","","ROLLO-2026-"&amp;TEXT(ROW()-1,"000000"))</f>
        <v/>
      </c>
      <c r="P175" s="12" t="str">
        <f aca="false">IF(O175="","","*"&amp;O175&amp;"*")</f>
        <v/>
      </c>
    </row>
    <row r="176" customFormat="false" ht="22.05" hidden="false" customHeight="false" outlineLevel="0" collapsed="false">
      <c r="O176" s="10" t="str">
        <f aca="false">IF($A176="","","ROLLO-2026-"&amp;TEXT(ROW()-1,"000000"))</f>
        <v/>
      </c>
      <c r="P176" s="12" t="str">
        <f aca="false">IF(O176="","","*"&amp;O176&amp;"*")</f>
        <v/>
      </c>
    </row>
    <row r="177" customFormat="false" ht="22.05" hidden="false" customHeight="false" outlineLevel="0" collapsed="false">
      <c r="O177" s="10" t="str">
        <f aca="false">IF($A177="","","ROLLO-2026-"&amp;TEXT(ROW()-1,"000000"))</f>
        <v/>
      </c>
      <c r="P177" s="12" t="str">
        <f aca="false">IF(O177="","","*"&amp;O177&amp;"*")</f>
        <v/>
      </c>
    </row>
    <row r="178" customFormat="false" ht="22.05" hidden="false" customHeight="false" outlineLevel="0" collapsed="false">
      <c r="O178" s="10" t="str">
        <f aca="false">IF($A178="","","ROLLO-2026-"&amp;TEXT(ROW()-1,"000000"))</f>
        <v/>
      </c>
      <c r="P178" s="12" t="str">
        <f aca="false">IF(O178="","","*"&amp;O178&amp;"*")</f>
        <v/>
      </c>
    </row>
    <row r="179" customFormat="false" ht="22.05" hidden="false" customHeight="false" outlineLevel="0" collapsed="false">
      <c r="O179" s="10" t="str">
        <f aca="false">IF($A179="","","ROLLO-2026-"&amp;TEXT(ROW()-1,"000000"))</f>
        <v/>
      </c>
      <c r="P179" s="12" t="str">
        <f aca="false">IF(O179="","","*"&amp;O179&amp;"*")</f>
        <v/>
      </c>
    </row>
    <row r="180" customFormat="false" ht="22.05" hidden="false" customHeight="false" outlineLevel="0" collapsed="false">
      <c r="O180" s="10" t="str">
        <f aca="false">IF($A180="","","ROLLO-2026-"&amp;TEXT(ROW()-1,"000000"))</f>
        <v/>
      </c>
      <c r="P180" s="12" t="str">
        <f aca="false">IF(O180="","","*"&amp;O180&amp;"*")</f>
        <v/>
      </c>
    </row>
    <row r="181" customFormat="false" ht="22.05" hidden="false" customHeight="false" outlineLevel="0" collapsed="false">
      <c r="O181" s="10" t="str">
        <f aca="false">IF($A181="","","ROLLO-2026-"&amp;TEXT(ROW()-1,"000000"))</f>
        <v/>
      </c>
      <c r="P181" s="12" t="str">
        <f aca="false">IF(O181="","","*"&amp;O181&amp;"*")</f>
        <v/>
      </c>
    </row>
    <row r="182" customFormat="false" ht="22.05" hidden="false" customHeight="false" outlineLevel="0" collapsed="false">
      <c r="O182" s="10" t="str">
        <f aca="false">IF($A182="","","ROLLO-2026-"&amp;TEXT(ROW()-1,"000000"))</f>
        <v/>
      </c>
      <c r="P182" s="12" t="str">
        <f aca="false">IF(O182="","","*"&amp;O182&amp;"*")</f>
        <v/>
      </c>
    </row>
    <row r="183" customFormat="false" ht="22.05" hidden="false" customHeight="false" outlineLevel="0" collapsed="false">
      <c r="O183" s="10" t="str">
        <f aca="false">IF($A183="","","ROLLO-2026-"&amp;TEXT(ROW()-1,"000000"))</f>
        <v/>
      </c>
      <c r="P183" s="12" t="str">
        <f aca="false">IF(O183="","","*"&amp;O183&amp;"*")</f>
        <v/>
      </c>
    </row>
    <row r="184" customFormat="false" ht="22.05" hidden="false" customHeight="false" outlineLevel="0" collapsed="false">
      <c r="O184" s="10" t="str">
        <f aca="false">IF($A184="","","ROLLO-2026-"&amp;TEXT(ROW()-1,"000000"))</f>
        <v/>
      </c>
      <c r="P184" s="12" t="str">
        <f aca="false">IF(O184="","","*"&amp;O184&amp;"*")</f>
        <v/>
      </c>
    </row>
    <row r="185" customFormat="false" ht="22.05" hidden="false" customHeight="false" outlineLevel="0" collapsed="false">
      <c r="O185" s="10" t="str">
        <f aca="false">IF($A185="","","ROLLO-2026-"&amp;TEXT(ROW()-1,"000000"))</f>
        <v/>
      </c>
      <c r="P185" s="12" t="str">
        <f aca="false">IF(O185="","","*"&amp;O185&amp;"*")</f>
        <v/>
      </c>
    </row>
    <row r="186" customFormat="false" ht="22.05" hidden="false" customHeight="false" outlineLevel="0" collapsed="false">
      <c r="O186" s="10" t="str">
        <f aca="false">IF($A186="","","ROLLO-2026-"&amp;TEXT(ROW()-1,"000000"))</f>
        <v/>
      </c>
      <c r="P186" s="12" t="str">
        <f aca="false">IF(O186="","","*"&amp;O186&amp;"*")</f>
        <v/>
      </c>
    </row>
    <row r="187" customFormat="false" ht="22.05" hidden="false" customHeight="false" outlineLevel="0" collapsed="false">
      <c r="O187" s="10" t="str">
        <f aca="false">IF($A187="","","ROLLO-2026-"&amp;TEXT(ROW()-1,"000000"))</f>
        <v/>
      </c>
      <c r="P187" s="12" t="str">
        <f aca="false">IF(O187="","","*"&amp;O187&amp;"*")</f>
        <v/>
      </c>
    </row>
    <row r="188" customFormat="false" ht="22.05" hidden="false" customHeight="false" outlineLevel="0" collapsed="false">
      <c r="O188" s="10" t="str">
        <f aca="false">IF($A188="","","ROLLO-2026-"&amp;TEXT(ROW()-1,"000000"))</f>
        <v/>
      </c>
      <c r="P188" s="12" t="str">
        <f aca="false">IF(O188="","","*"&amp;O188&amp;"*")</f>
        <v/>
      </c>
    </row>
    <row r="189" customFormat="false" ht="22.05" hidden="false" customHeight="false" outlineLevel="0" collapsed="false">
      <c r="O189" s="10" t="str">
        <f aca="false">IF($A189="","","ROLLO-2026-"&amp;TEXT(ROW()-1,"000000"))</f>
        <v/>
      </c>
      <c r="P189" s="12" t="str">
        <f aca="false">IF(O189="","","*"&amp;O189&amp;"*")</f>
        <v/>
      </c>
    </row>
    <row r="190" customFormat="false" ht="22.05" hidden="false" customHeight="false" outlineLevel="0" collapsed="false">
      <c r="O190" s="10" t="str">
        <f aca="false">IF($A190="","","ROLLO-2026-"&amp;TEXT(ROW()-1,"000000"))</f>
        <v/>
      </c>
      <c r="P190" s="12" t="str">
        <f aca="false">IF(O190="","","*"&amp;O190&amp;"*")</f>
        <v/>
      </c>
    </row>
    <row r="191" customFormat="false" ht="22.05" hidden="false" customHeight="false" outlineLevel="0" collapsed="false">
      <c r="O191" s="10" t="str">
        <f aca="false">IF($A191="","","ROLLO-2026-"&amp;TEXT(ROW()-1,"000000"))</f>
        <v/>
      </c>
      <c r="P191" s="12" t="str">
        <f aca="false">IF(O191="","","*"&amp;O191&amp;"*")</f>
        <v/>
      </c>
    </row>
    <row r="192" customFormat="false" ht="22.05" hidden="false" customHeight="false" outlineLevel="0" collapsed="false">
      <c r="O192" s="10" t="str">
        <f aca="false">IF($A192="","","ROLLO-2026-"&amp;TEXT(ROW()-1,"000000"))</f>
        <v/>
      </c>
      <c r="P192" s="12" t="str">
        <f aca="false">IF(O192="","","*"&amp;O192&amp;"*")</f>
        <v/>
      </c>
    </row>
    <row r="193" customFormat="false" ht="22.05" hidden="false" customHeight="false" outlineLevel="0" collapsed="false">
      <c r="O193" s="10" t="str">
        <f aca="false">IF($A193="","","ROLLO-2026-"&amp;TEXT(ROW()-1,"000000"))</f>
        <v/>
      </c>
      <c r="P193" s="12" t="str">
        <f aca="false">IF(O193="","","*"&amp;O193&amp;"*")</f>
        <v/>
      </c>
    </row>
    <row r="194" customFormat="false" ht="22.05" hidden="false" customHeight="false" outlineLevel="0" collapsed="false">
      <c r="O194" s="10" t="str">
        <f aca="false">IF($A194="","","ROLLO-2026-"&amp;TEXT(ROW()-1,"000000"))</f>
        <v/>
      </c>
      <c r="P194" s="12" t="str">
        <f aca="false">IF(O194="","","*"&amp;O194&amp;"*")</f>
        <v/>
      </c>
    </row>
    <row r="195" customFormat="false" ht="22.05" hidden="false" customHeight="false" outlineLevel="0" collapsed="false">
      <c r="O195" s="10" t="str">
        <f aca="false">IF($A195="","","ROLLO-2026-"&amp;TEXT(ROW()-1,"000000"))</f>
        <v/>
      </c>
      <c r="P195" s="12" t="str">
        <f aca="false">IF(O195="","","*"&amp;O195&amp;"*")</f>
        <v/>
      </c>
    </row>
    <row r="196" customFormat="false" ht="22.05" hidden="false" customHeight="false" outlineLevel="0" collapsed="false">
      <c r="O196" s="10" t="str">
        <f aca="false">IF($A196="","","ROLLO-2026-"&amp;TEXT(ROW()-1,"000000"))</f>
        <v/>
      </c>
      <c r="P196" s="12" t="str">
        <f aca="false">IF(O196="","","*"&amp;O196&amp;"*")</f>
        <v/>
      </c>
    </row>
    <row r="197" customFormat="false" ht="22.05" hidden="false" customHeight="false" outlineLevel="0" collapsed="false">
      <c r="O197" s="10" t="str">
        <f aca="false">IF($A197="","","ROLLO-2026-"&amp;TEXT(ROW()-1,"000000"))</f>
        <v/>
      </c>
      <c r="P197" s="12" t="str">
        <f aca="false">IF(O197="","","*"&amp;O197&amp;"*")</f>
        <v/>
      </c>
    </row>
    <row r="198" customFormat="false" ht="22.05" hidden="false" customHeight="false" outlineLevel="0" collapsed="false">
      <c r="O198" s="10" t="str">
        <f aca="false">IF($A198="","","ROLLO-2026-"&amp;TEXT(ROW()-1,"000000"))</f>
        <v/>
      </c>
      <c r="P198" s="12" t="str">
        <f aca="false">IF(O198="","","*"&amp;O198&amp;"*")</f>
        <v/>
      </c>
    </row>
    <row r="199" customFormat="false" ht="22.05" hidden="false" customHeight="false" outlineLevel="0" collapsed="false">
      <c r="O199" s="10" t="str">
        <f aca="false">IF($A199="","","ROLLO-2026-"&amp;TEXT(ROW()-1,"000000"))</f>
        <v/>
      </c>
      <c r="P199" s="12" t="str">
        <f aca="false">IF(O199="","","*"&amp;O199&amp;"*")</f>
        <v/>
      </c>
    </row>
    <row r="200" customFormat="false" ht="22.05" hidden="false" customHeight="false" outlineLevel="0" collapsed="false">
      <c r="O200" s="10" t="str">
        <f aca="false">IF($A200="","","ROLLO-2026-"&amp;TEXT(ROW()-1,"000000"))</f>
        <v/>
      </c>
      <c r="P200" s="12" t="str">
        <f aca="false">IF(O200="","","*"&amp;O200&amp;"*")</f>
        <v/>
      </c>
    </row>
    <row r="201" customFormat="false" ht="22.05" hidden="false" customHeight="false" outlineLevel="0" collapsed="false">
      <c r="O201" s="10" t="str">
        <f aca="false">IF($A201="","","ROLLO-2026-"&amp;TEXT(ROW()-1,"000000"))</f>
        <v/>
      </c>
      <c r="P201" s="12" t="str">
        <f aca="false">IF(O201="","","*"&amp;O201&amp;"*")</f>
        <v/>
      </c>
    </row>
  </sheetData>
  <dataValidations count="1">
    <dataValidation allowBlank="true" errorStyle="stop" operator="between" showDropDown="false" showErrorMessage="false" showInputMessage="false" sqref="C2:C1000" type="list">
      <formula1>"Remisión,Factura,Lista de empaque,Consulta"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18"/>
  </cols>
  <sheetData>
    <row r="1" customFormat="false" ht="36" hidden="false" customHeight="true" outlineLevel="0" collapsed="false">
      <c r="A1" s="13" t="s">
        <v>67</v>
      </c>
      <c r="B1" s="13"/>
      <c r="C1" s="13"/>
      <c r="D1" s="13"/>
      <c r="E1" s="13"/>
    </row>
    <row r="3" customFormat="false" ht="15" hidden="false" customHeight="false" outlineLevel="0" collapsed="false">
      <c r="A3" s="4" t="s">
        <v>68</v>
      </c>
      <c r="B3" s="14" t="s">
        <v>43</v>
      </c>
      <c r="C3" s="4" t="s">
        <v>69</v>
      </c>
      <c r="D3" s="15" t="n">
        <f aca="false">IFERROR(VLOOKUP(B3,$A$7:$E$20,2,0),0)</f>
        <v>2</v>
      </c>
      <c r="E3" s="16" t="str">
        <f aca="false">IFERROR("Disponible: "&amp;TEXT(VLOOKUP(B3,$A$7:$E$20,5,0),"#,##0.0")&amp;" m","")</f>
        <v>Disponible: 69.0 m</v>
      </c>
    </row>
    <row r="6" customFormat="false" ht="23.85" hidden="false" customHeight="false" outlineLevel="0" collapsed="false">
      <c r="A6" s="17" t="s">
        <v>70</v>
      </c>
      <c r="B6" s="17" t="s">
        <v>71</v>
      </c>
      <c r="C6" s="17" t="s">
        <v>72</v>
      </c>
      <c r="D6" s="17" t="s">
        <v>73</v>
      </c>
      <c r="E6" s="17" t="s">
        <v>74</v>
      </c>
    </row>
    <row r="7" customFormat="false" ht="15" hidden="false" customHeight="false" outlineLevel="0" collapsed="false">
      <c r="A7" s="7" t="s">
        <v>43</v>
      </c>
      <c r="B7" s="18" t="n">
        <f aca="false">IF($A7="","",COUNTIF('Órdenes de Ingreso'!$K:$K,$A7))</f>
        <v>2</v>
      </c>
      <c r="C7" s="19" t="n">
        <f aca="false">IF($A7="","",SUMIF('Órdenes de Ingreso'!$K:$K,$A7,'Órdenes de Ingreso'!$M:$M))</f>
        <v>99</v>
      </c>
      <c r="D7" s="19" t="n">
        <f aca="false">IF($A7="","",SUMIF(Cortes!$B:$B,$A7,Cortes!$D:$D))</f>
        <v>30</v>
      </c>
      <c r="E7" s="20" t="n">
        <f aca="false">IF($A7="","",$C7-$D7)</f>
        <v>69</v>
      </c>
    </row>
    <row r="8" customFormat="false" ht="15" hidden="false" customHeight="false" outlineLevel="0" collapsed="false">
      <c r="A8" s="7" t="s">
        <v>56</v>
      </c>
      <c r="B8" s="18" t="n">
        <f aca="false">IF($A8="","",COUNTIF('Órdenes de Ingreso'!$K:$K,$A8))</f>
        <v>2</v>
      </c>
      <c r="C8" s="19" t="n">
        <f aca="false">IF($A8="","",SUMIF('Órdenes de Ingreso'!$K:$K,$A8,'Órdenes de Ingreso'!$M:$M))</f>
        <v>162.1</v>
      </c>
      <c r="D8" s="19" t="n">
        <f aca="false">IF($A8="","",SUMIF(Cortes!$B:$B,$A8,Cortes!$D:$D))</f>
        <v>0</v>
      </c>
      <c r="E8" s="20" t="n">
        <f aca="false">IF($A8="","",$C8-$D8)</f>
        <v>162.1</v>
      </c>
    </row>
    <row r="9" customFormat="false" ht="15" hidden="false" customHeight="false" outlineLevel="0" collapsed="false">
      <c r="A9" s="7" t="s">
        <v>66</v>
      </c>
      <c r="B9" s="18" t="n">
        <f aca="false">IF($A9="","",COUNTIF('Órdenes de Ingreso'!$K:$K,$A9))</f>
        <v>1</v>
      </c>
      <c r="C9" s="19" t="n">
        <f aca="false">IF($A9="","",SUMIF('Órdenes de Ingreso'!$K:$K,$A9,'Órdenes de Ingreso'!$M:$M))</f>
        <v>307.7</v>
      </c>
      <c r="D9" s="19" t="n">
        <f aca="false">IF($A9="","",SUMIF(Cortes!$B:$B,$A9,Cortes!$D:$D))</f>
        <v>0</v>
      </c>
      <c r="E9" s="20" t="n">
        <f aca="false">IF($A9="","",$C9-$D9)</f>
        <v>307.7</v>
      </c>
    </row>
    <row r="10" customFormat="false" ht="15" hidden="false" customHeight="false" outlineLevel="0" collapsed="false">
      <c r="A10" s="7"/>
      <c r="B10" s="18" t="str">
        <f aca="false">IF($A10="","",COUNTIF('Órdenes de Ingreso'!$K:$K,$A10))</f>
        <v/>
      </c>
      <c r="C10" s="19" t="str">
        <f aca="false">IF($A10="","",SUMIF('Órdenes de Ingreso'!$K:$K,$A10,'Órdenes de Ingreso'!$M:$M))</f>
        <v/>
      </c>
      <c r="D10" s="19" t="str">
        <f aca="false">IF($A10="","",SUMIF(Cortes!$B:$B,$A10,Cortes!$D:$D))</f>
        <v/>
      </c>
      <c r="E10" s="20" t="str">
        <f aca="false">IF($A10="","",$C10-$D10)</f>
        <v/>
      </c>
    </row>
    <row r="11" customFormat="false" ht="15" hidden="false" customHeight="false" outlineLevel="0" collapsed="false">
      <c r="A11" s="7"/>
      <c r="B11" s="18" t="str">
        <f aca="false">IF($A11="","",COUNTIF('Órdenes de Ingreso'!$K:$K,$A11))</f>
        <v/>
      </c>
      <c r="C11" s="19" t="str">
        <f aca="false">IF($A11="","",SUMIF('Órdenes de Ingreso'!$K:$K,$A11,'Órdenes de Ingreso'!$M:$M))</f>
        <v/>
      </c>
      <c r="D11" s="19" t="str">
        <f aca="false">IF($A11="","",SUMIF(Cortes!$B:$B,$A11,Cortes!$D:$D))</f>
        <v/>
      </c>
      <c r="E11" s="20" t="str">
        <f aca="false">IF($A11="","",$C11-$D11)</f>
        <v/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B3" type="list">
      <formula1>Inventario!$A$7:$A$11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16"/>
  </cols>
  <sheetData>
    <row r="1" customFormat="false" ht="31.5" hidden="false" customHeight="true" outlineLevel="0" collapsed="false">
      <c r="A1" s="5" t="s">
        <v>22</v>
      </c>
      <c r="B1" s="5" t="s">
        <v>75</v>
      </c>
      <c r="C1" s="5" t="s">
        <v>76</v>
      </c>
      <c r="D1" s="5" t="s">
        <v>77</v>
      </c>
      <c r="E1" s="5" t="s">
        <v>27</v>
      </c>
      <c r="F1" s="5" t="s">
        <v>78</v>
      </c>
    </row>
    <row r="2" customFormat="false" ht="15" hidden="false" customHeight="false" outlineLevel="0" collapsed="false">
      <c r="A2" s="7" t="s">
        <v>79</v>
      </c>
      <c r="B2" s="7" t="s">
        <v>43</v>
      </c>
      <c r="C2" s="7" t="s">
        <v>80</v>
      </c>
      <c r="D2" s="21" t="n">
        <v>30</v>
      </c>
      <c r="E2" s="7"/>
      <c r="F2" s="7" t="s">
        <v>81</v>
      </c>
    </row>
    <row r="3" customFormat="false" ht="15" hidden="false" customHeight="false" outlineLevel="0" collapsed="false">
      <c r="A3" s="7"/>
      <c r="B3" s="7"/>
      <c r="C3" s="7"/>
      <c r="D3" s="21"/>
      <c r="E3" s="7"/>
      <c r="F3" s="7"/>
    </row>
    <row r="4" customFormat="false" ht="15" hidden="false" customHeight="false" outlineLevel="0" collapsed="false">
      <c r="A4" s="7"/>
      <c r="B4" s="7"/>
      <c r="C4" s="7"/>
      <c r="D4" s="21"/>
      <c r="E4" s="7"/>
      <c r="F4" s="7"/>
    </row>
    <row r="5" customFormat="false" ht="15" hidden="false" customHeight="false" outlineLevel="0" collapsed="false">
      <c r="A5" s="7"/>
      <c r="B5" s="7"/>
      <c r="C5" s="7"/>
      <c r="D5" s="21"/>
      <c r="E5" s="7"/>
      <c r="F5" s="7"/>
    </row>
    <row r="6" customFormat="false" ht="15" hidden="false" customHeight="false" outlineLevel="0" collapsed="false">
      <c r="A6" s="7"/>
      <c r="B6" s="7"/>
      <c r="C6" s="7"/>
      <c r="D6" s="21"/>
      <c r="E6" s="7"/>
      <c r="F6" s="7"/>
    </row>
    <row r="7" customFormat="false" ht="15" hidden="false" customHeight="false" outlineLevel="0" collapsed="false">
      <c r="A7" s="7"/>
      <c r="B7" s="7"/>
      <c r="C7" s="7"/>
      <c r="D7" s="21"/>
      <c r="E7" s="7"/>
      <c r="F7" s="7"/>
    </row>
    <row r="8" customFormat="false" ht="15" hidden="false" customHeight="false" outlineLevel="0" collapsed="false">
      <c r="A8" s="7"/>
      <c r="B8" s="7"/>
      <c r="C8" s="7"/>
      <c r="D8" s="21"/>
      <c r="E8" s="7"/>
      <c r="F8" s="7"/>
    </row>
    <row r="9" customFormat="false" ht="15" hidden="false" customHeight="false" outlineLevel="0" collapsed="false">
      <c r="A9" s="7"/>
      <c r="B9" s="7"/>
      <c r="C9" s="7"/>
      <c r="D9" s="21"/>
      <c r="E9" s="7"/>
      <c r="F9" s="7"/>
    </row>
    <row r="10" customFormat="false" ht="15" hidden="false" customHeight="false" outlineLevel="0" collapsed="false">
      <c r="A10" s="7"/>
      <c r="B10" s="7"/>
      <c r="C10" s="7"/>
      <c r="D10" s="21"/>
      <c r="E10" s="7"/>
      <c r="F10" s="7"/>
    </row>
    <row r="11" customFormat="false" ht="15" hidden="false" customHeight="false" outlineLevel="0" collapsed="false">
      <c r="A11" s="7"/>
      <c r="B11" s="7"/>
      <c r="C11" s="7"/>
      <c r="D11" s="21"/>
      <c r="E11" s="7"/>
      <c r="F11" s="7"/>
    </row>
  </sheetData>
  <dataValidations count="1">
    <dataValidation allowBlank="true" errorStyle="stop" operator="between" showDropDown="false" showErrorMessage="false" showInputMessage="false" sqref="B2:B500" type="list">
      <formula1>Inventario!$A$7:$A$11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6"/>
  </cols>
  <sheetData>
    <row r="1" customFormat="false" ht="36" hidden="false" customHeight="true" outlineLevel="0" collapsed="false">
      <c r="A1" s="13" t="s">
        <v>82</v>
      </c>
      <c r="B1" s="13"/>
      <c r="C1" s="13"/>
      <c r="D1" s="13"/>
      <c r="E1" s="13"/>
      <c r="F1" s="13"/>
      <c r="G1" s="13"/>
    </row>
    <row r="2" customFormat="false" ht="15" hidden="false" customHeight="false" outlineLevel="0" collapsed="false">
      <c r="A2" s="22" t="s">
        <v>83</v>
      </c>
      <c r="B2" s="7" t="s">
        <v>84</v>
      </c>
      <c r="C2" s="22" t="s">
        <v>85</v>
      </c>
      <c r="D2" s="23" t="s">
        <v>86</v>
      </c>
      <c r="E2" s="23"/>
      <c r="F2" s="22" t="s">
        <v>87</v>
      </c>
      <c r="G2" s="7"/>
    </row>
    <row r="3" customFormat="false" ht="15" hidden="false" customHeight="false" outlineLevel="0" collapsed="false">
      <c r="A3" s="22" t="s">
        <v>88</v>
      </c>
      <c r="B3" s="7" t="s">
        <v>89</v>
      </c>
      <c r="C3" s="22" t="s">
        <v>90</v>
      </c>
      <c r="D3" s="7" t="s">
        <v>91</v>
      </c>
      <c r="F3" s="22" t="s">
        <v>92</v>
      </c>
      <c r="G3" s="24" t="n">
        <v>0.19</v>
      </c>
    </row>
    <row r="5" customFormat="false" ht="25.5" hidden="false" customHeight="true" outlineLevel="0" collapsed="false">
      <c r="A5" s="25" t="s">
        <v>93</v>
      </c>
      <c r="B5" s="25" t="s">
        <v>94</v>
      </c>
      <c r="C5" s="25" t="s">
        <v>95</v>
      </c>
      <c r="D5" s="25" t="s">
        <v>96</v>
      </c>
      <c r="E5" s="25" t="s">
        <v>97</v>
      </c>
      <c r="F5" s="25" t="s">
        <v>98</v>
      </c>
      <c r="G5" s="25" t="s">
        <v>99</v>
      </c>
    </row>
    <row r="6" customFormat="false" ht="15" hidden="false" customHeight="true" outlineLevel="0" collapsed="false">
      <c r="A6" s="26" t="s">
        <v>100</v>
      </c>
      <c r="B6" s="27" t="s">
        <v>101</v>
      </c>
      <c r="C6" s="8" t="n">
        <v>15900</v>
      </c>
      <c r="D6" s="9" t="n">
        <v>1</v>
      </c>
      <c r="E6" s="28" t="n">
        <f aca="false">ROUND(F6*$G$3,0)</f>
        <v>3021</v>
      </c>
      <c r="F6" s="28" t="n">
        <f aca="false">C6*D6</f>
        <v>15900</v>
      </c>
      <c r="G6" s="28" t="n">
        <f aca="false">F6+E6</f>
        <v>18921</v>
      </c>
    </row>
    <row r="7" customFormat="false" ht="15" hidden="false" customHeight="false" outlineLevel="0" collapsed="false">
      <c r="A7" s="26"/>
      <c r="B7" s="27" t="s">
        <v>102</v>
      </c>
      <c r="C7" s="8" t="n">
        <v>0</v>
      </c>
      <c r="D7" s="9" t="n">
        <v>1</v>
      </c>
      <c r="E7" s="28" t="n">
        <f aca="false">ROUND(F7*$G$3,0)</f>
        <v>0</v>
      </c>
      <c r="F7" s="28" t="n">
        <f aca="false">C7*D7</f>
        <v>0</v>
      </c>
      <c r="G7" s="28" t="n">
        <f aca="false">F7+E7</f>
        <v>0</v>
      </c>
    </row>
    <row r="8" customFormat="false" ht="15" hidden="false" customHeight="true" outlineLevel="0" collapsed="false">
      <c r="A8" s="26" t="s">
        <v>103</v>
      </c>
      <c r="B8" s="27" t="s">
        <v>88</v>
      </c>
      <c r="C8" s="8" t="n">
        <v>15900</v>
      </c>
      <c r="D8" s="9" t="n">
        <v>1.07</v>
      </c>
      <c r="E8" s="28" t="n">
        <f aca="false">ROUND(F8*$G$3,0)</f>
        <v>3232</v>
      </c>
      <c r="F8" s="28" t="n">
        <f aca="false">C8*D8</f>
        <v>17013</v>
      </c>
      <c r="G8" s="28" t="n">
        <f aca="false">F8+E8</f>
        <v>20245</v>
      </c>
    </row>
    <row r="9" customFormat="false" ht="15" hidden="false" customHeight="false" outlineLevel="0" collapsed="false">
      <c r="A9" s="26"/>
      <c r="B9" s="27" t="s">
        <v>104</v>
      </c>
      <c r="C9" s="8" t="n">
        <v>4400</v>
      </c>
      <c r="D9" s="9" t="n">
        <v>0.15</v>
      </c>
      <c r="E9" s="28" t="n">
        <f aca="false">ROUND(F9*$G$3,0)</f>
        <v>125</v>
      </c>
      <c r="F9" s="28" t="n">
        <f aca="false">C9*D9</f>
        <v>660</v>
      </c>
      <c r="G9" s="28" t="n">
        <f aca="false">F9+E9</f>
        <v>785</v>
      </c>
    </row>
    <row r="10" customFormat="false" ht="15" hidden="false" customHeight="false" outlineLevel="0" collapsed="false">
      <c r="A10" s="26"/>
      <c r="B10" s="27" t="s">
        <v>105</v>
      </c>
      <c r="C10" s="8" t="n">
        <v>0</v>
      </c>
      <c r="D10" s="9" t="n">
        <v>1</v>
      </c>
      <c r="E10" s="28" t="n">
        <f aca="false">ROUND(F10*$G$3,0)</f>
        <v>0</v>
      </c>
      <c r="F10" s="28" t="n">
        <f aca="false">C10*D10</f>
        <v>0</v>
      </c>
      <c r="G10" s="28" t="n">
        <f aca="false">F10+E10</f>
        <v>0</v>
      </c>
    </row>
    <row r="11" customFormat="false" ht="15" hidden="false" customHeight="true" outlineLevel="0" collapsed="false">
      <c r="A11" s="26" t="s">
        <v>106</v>
      </c>
      <c r="B11" s="27" t="s">
        <v>107</v>
      </c>
      <c r="C11" s="8" t="n">
        <v>0</v>
      </c>
      <c r="D11" s="9" t="n">
        <v>1</v>
      </c>
      <c r="E11" s="28" t="n">
        <f aca="false">ROUND(F11*$G$3,0)</f>
        <v>0</v>
      </c>
      <c r="F11" s="28" t="n">
        <f aca="false">C11*D11</f>
        <v>0</v>
      </c>
      <c r="G11" s="28" t="n">
        <f aca="false">F11+E11</f>
        <v>0</v>
      </c>
    </row>
    <row r="12" customFormat="false" ht="15" hidden="false" customHeight="false" outlineLevel="0" collapsed="false">
      <c r="A12" s="26"/>
      <c r="B12" s="27" t="s">
        <v>108</v>
      </c>
      <c r="C12" s="8" t="n">
        <v>1200</v>
      </c>
      <c r="D12" s="9" t="n">
        <v>1</v>
      </c>
      <c r="E12" s="28" t="n">
        <f aca="false">ROUND(F12*$G$3,0)</f>
        <v>228</v>
      </c>
      <c r="F12" s="28" t="n">
        <f aca="false">C12*D12</f>
        <v>1200</v>
      </c>
      <c r="G12" s="28" t="n">
        <f aca="false">F12+E12</f>
        <v>1428</v>
      </c>
    </row>
    <row r="13" customFormat="false" ht="15" hidden="false" customHeight="false" outlineLevel="0" collapsed="false">
      <c r="A13" s="26" t="s">
        <v>109</v>
      </c>
      <c r="B13" s="27" t="s">
        <v>110</v>
      </c>
      <c r="C13" s="8" t="n">
        <v>10700</v>
      </c>
      <c r="D13" s="9" t="n">
        <v>1</v>
      </c>
      <c r="E13" s="28" t="n">
        <f aca="false">ROUND(F13*$G$3,0)</f>
        <v>2033</v>
      </c>
      <c r="F13" s="28" t="n">
        <f aca="false">C13*D13</f>
        <v>10700</v>
      </c>
      <c r="G13" s="28" t="n">
        <f aca="false">F13+E13</f>
        <v>12733</v>
      </c>
    </row>
    <row r="14" customFormat="false" ht="15" hidden="false" customHeight="true" outlineLevel="0" collapsed="false">
      <c r="A14" s="26" t="s">
        <v>111</v>
      </c>
      <c r="B14" s="27" t="s">
        <v>112</v>
      </c>
      <c r="C14" s="8" t="n">
        <v>700</v>
      </c>
      <c r="D14" s="9" t="n">
        <v>1</v>
      </c>
      <c r="E14" s="28" t="n">
        <f aca="false">ROUND(F14*$G$3,0)</f>
        <v>133</v>
      </c>
      <c r="F14" s="28" t="n">
        <f aca="false">C14*D14</f>
        <v>700</v>
      </c>
      <c r="G14" s="28" t="n">
        <f aca="false">F14+E14</f>
        <v>833</v>
      </c>
    </row>
    <row r="15" customFormat="false" ht="15" hidden="false" customHeight="false" outlineLevel="0" collapsed="false">
      <c r="A15" s="26"/>
      <c r="B15" s="27" t="s">
        <v>113</v>
      </c>
      <c r="C15" s="8" t="n">
        <v>87</v>
      </c>
      <c r="D15" s="9" t="n">
        <v>1</v>
      </c>
      <c r="E15" s="28" t="n">
        <f aca="false">ROUND(F15*$G$3,0)</f>
        <v>17</v>
      </c>
      <c r="F15" s="28" t="n">
        <f aca="false">C15*D15</f>
        <v>87</v>
      </c>
      <c r="G15" s="28" t="n">
        <f aca="false">F15+E15</f>
        <v>104</v>
      </c>
    </row>
    <row r="16" customFormat="false" ht="15" hidden="false" customHeight="false" outlineLevel="0" collapsed="false">
      <c r="A16" s="26"/>
      <c r="B16" s="27" t="s">
        <v>114</v>
      </c>
      <c r="C16" s="8" t="n">
        <v>0</v>
      </c>
      <c r="D16" s="9" t="n">
        <v>0.07</v>
      </c>
      <c r="E16" s="28" t="n">
        <f aca="false">ROUND(F16*$G$3,0)</f>
        <v>0</v>
      </c>
      <c r="F16" s="28" t="n">
        <f aca="false">C16*D16</f>
        <v>0</v>
      </c>
      <c r="G16" s="28" t="n">
        <f aca="false">F16+E16</f>
        <v>0</v>
      </c>
    </row>
    <row r="17" customFormat="false" ht="15" hidden="false" customHeight="true" outlineLevel="0" collapsed="false">
      <c r="A17" s="26" t="s">
        <v>109</v>
      </c>
      <c r="B17" s="27" t="s">
        <v>115</v>
      </c>
      <c r="C17" s="8" t="n">
        <v>7000</v>
      </c>
      <c r="D17" s="9" t="n">
        <v>1</v>
      </c>
      <c r="E17" s="28" t="n">
        <f aca="false">ROUND(F17*$G$3,0)</f>
        <v>1330</v>
      </c>
      <c r="F17" s="28" t="n">
        <f aca="false">C17*D17</f>
        <v>7000</v>
      </c>
      <c r="G17" s="28" t="n">
        <f aca="false">F17+E17</f>
        <v>8330</v>
      </c>
    </row>
    <row r="18" customFormat="false" ht="15" hidden="false" customHeight="false" outlineLevel="0" collapsed="false">
      <c r="A18" s="26"/>
      <c r="B18" s="27" t="s">
        <v>116</v>
      </c>
      <c r="C18" s="8" t="n">
        <v>2100</v>
      </c>
      <c r="D18" s="9" t="n">
        <v>1</v>
      </c>
      <c r="E18" s="28" t="n">
        <f aca="false">ROUND(F18*$G$3,0)</f>
        <v>399</v>
      </c>
      <c r="F18" s="28" t="n">
        <f aca="false">C18*D18</f>
        <v>2100</v>
      </c>
      <c r="G18" s="28" t="n">
        <f aca="false">F18+E18</f>
        <v>2499</v>
      </c>
    </row>
    <row r="19" customFormat="false" ht="15" hidden="false" customHeight="true" outlineLevel="0" collapsed="false">
      <c r="A19" s="26" t="s">
        <v>117</v>
      </c>
      <c r="B19" s="27" t="s">
        <v>118</v>
      </c>
      <c r="C19" s="8" t="n">
        <v>20</v>
      </c>
      <c r="D19" s="9" t="n">
        <v>1</v>
      </c>
      <c r="E19" s="28" t="n">
        <f aca="false">ROUND(F19*$G$3,0)</f>
        <v>4</v>
      </c>
      <c r="F19" s="28" t="n">
        <f aca="false">C19*D19</f>
        <v>20</v>
      </c>
      <c r="G19" s="28" t="n">
        <f aca="false">F19+E19</f>
        <v>24</v>
      </c>
    </row>
    <row r="20" customFormat="false" ht="15" hidden="false" customHeight="false" outlineLevel="0" collapsed="false">
      <c r="A20" s="26"/>
      <c r="B20" s="27" t="s">
        <v>119</v>
      </c>
      <c r="C20" s="8" t="n">
        <v>123</v>
      </c>
      <c r="D20" s="9" t="n">
        <v>1</v>
      </c>
      <c r="E20" s="28" t="n">
        <f aca="false">ROUND(F20*$G$3,0)</f>
        <v>23</v>
      </c>
      <c r="F20" s="28" t="n">
        <f aca="false">C20*D20</f>
        <v>123</v>
      </c>
      <c r="G20" s="28" t="n">
        <f aca="false">F20+E20</f>
        <v>146</v>
      </c>
    </row>
    <row r="21" customFormat="false" ht="15" hidden="false" customHeight="false" outlineLevel="0" collapsed="false">
      <c r="A21" s="26"/>
      <c r="B21" s="27" t="s">
        <v>120</v>
      </c>
      <c r="C21" s="8" t="n">
        <v>10</v>
      </c>
      <c r="D21" s="9" t="n">
        <v>1</v>
      </c>
      <c r="E21" s="28" t="n">
        <f aca="false">ROUND(F21*$G$3,0)</f>
        <v>2</v>
      </c>
      <c r="F21" s="28" t="n">
        <f aca="false">C21*D21</f>
        <v>10</v>
      </c>
      <c r="G21" s="28" t="n">
        <f aca="false">F21+E21</f>
        <v>12</v>
      </c>
    </row>
    <row r="22" customFormat="false" ht="15" hidden="false" customHeight="false" outlineLevel="0" collapsed="false">
      <c r="A22" s="26"/>
      <c r="B22" s="27" t="s">
        <v>121</v>
      </c>
      <c r="C22" s="8" t="n">
        <v>180</v>
      </c>
      <c r="D22" s="9" t="n">
        <v>1</v>
      </c>
      <c r="E22" s="28" t="n">
        <f aca="false">ROUND(F22*$G$3,0)</f>
        <v>34</v>
      </c>
      <c r="F22" s="28" t="n">
        <f aca="false">C22*D22</f>
        <v>180</v>
      </c>
      <c r="G22" s="28" t="n">
        <f aca="false">F22+E22</f>
        <v>214</v>
      </c>
    </row>
    <row r="23" customFormat="false" ht="15" hidden="false" customHeight="true" outlineLevel="0" collapsed="false">
      <c r="A23" s="26" t="s">
        <v>122</v>
      </c>
      <c r="B23" s="27" t="s">
        <v>123</v>
      </c>
      <c r="C23" s="8" t="n">
        <v>278</v>
      </c>
      <c r="D23" s="9" t="n">
        <v>1</v>
      </c>
      <c r="E23" s="28" t="n">
        <f aca="false">ROUND(F23*$G$3,0)</f>
        <v>53</v>
      </c>
      <c r="F23" s="28" t="n">
        <f aca="false">C23*D23</f>
        <v>278</v>
      </c>
      <c r="G23" s="28" t="n">
        <f aca="false">F23+E23</f>
        <v>331</v>
      </c>
    </row>
    <row r="24" customFormat="false" ht="15" hidden="false" customHeight="false" outlineLevel="0" collapsed="false">
      <c r="A24" s="26"/>
      <c r="B24" s="27" t="s">
        <v>124</v>
      </c>
      <c r="C24" s="8" t="n">
        <v>111</v>
      </c>
      <c r="D24" s="9" t="n">
        <v>2</v>
      </c>
      <c r="E24" s="28" t="n">
        <f aca="false">ROUND(F24*$G$3,0)</f>
        <v>42</v>
      </c>
      <c r="F24" s="28" t="n">
        <f aca="false">C24*D24</f>
        <v>222</v>
      </c>
      <c r="G24" s="28" t="n">
        <f aca="false">F24+E24</f>
        <v>264</v>
      </c>
    </row>
    <row r="25" customFormat="false" ht="15" hidden="false" customHeight="false" outlineLevel="0" collapsed="false">
      <c r="A25" s="26"/>
      <c r="B25" s="27" t="s">
        <v>125</v>
      </c>
      <c r="C25" s="8" t="n">
        <v>700</v>
      </c>
      <c r="D25" s="9" t="n">
        <v>1</v>
      </c>
      <c r="E25" s="28" t="n">
        <f aca="false">ROUND(F25*$G$3,0)</f>
        <v>133</v>
      </c>
      <c r="F25" s="28" t="n">
        <f aca="false">C25*D25</f>
        <v>700</v>
      </c>
      <c r="G25" s="28" t="n">
        <f aca="false">F25+E25</f>
        <v>833</v>
      </c>
    </row>
    <row r="26" customFormat="false" ht="15" hidden="false" customHeight="false" outlineLevel="0" collapsed="false">
      <c r="A26" s="26"/>
      <c r="B26" s="27" t="s">
        <v>126</v>
      </c>
      <c r="C26" s="8" t="n">
        <v>0</v>
      </c>
      <c r="D26" s="9" t="n">
        <v>1</v>
      </c>
      <c r="E26" s="28" t="n">
        <f aca="false">ROUND(F26*$G$3,0)</f>
        <v>0</v>
      </c>
      <c r="F26" s="28" t="n">
        <f aca="false">C26*D26</f>
        <v>0</v>
      </c>
      <c r="G26" s="28" t="n">
        <f aca="false">F26+E26</f>
        <v>0</v>
      </c>
    </row>
    <row r="27" customFormat="false" ht="15" hidden="false" customHeight="false" outlineLevel="0" collapsed="false">
      <c r="A27" s="26"/>
      <c r="B27" s="27" t="s">
        <v>127</v>
      </c>
      <c r="C27" s="8" t="n">
        <v>0</v>
      </c>
      <c r="D27" s="9" t="n">
        <v>1</v>
      </c>
      <c r="E27" s="28" t="n">
        <f aca="false">ROUND(F27*$G$3,0)</f>
        <v>0</v>
      </c>
      <c r="F27" s="28" t="n">
        <f aca="false">C27*D27</f>
        <v>0</v>
      </c>
      <c r="G27" s="28" t="n">
        <f aca="false">F27+E27</f>
        <v>0</v>
      </c>
    </row>
    <row r="28" customFormat="false" ht="15" hidden="false" customHeight="false" outlineLevel="0" collapsed="false">
      <c r="A28" s="26" t="s">
        <v>128</v>
      </c>
      <c r="B28" s="27" t="s">
        <v>128</v>
      </c>
      <c r="C28" s="8" t="n">
        <v>11000</v>
      </c>
      <c r="D28" s="9" t="n">
        <v>1</v>
      </c>
      <c r="E28" s="28" t="n">
        <f aca="false">ROUND(F28*$G$3,0)</f>
        <v>2090</v>
      </c>
      <c r="F28" s="28" t="n">
        <f aca="false">C28*D28</f>
        <v>11000</v>
      </c>
      <c r="G28" s="28" t="n">
        <f aca="false">F28+E28</f>
        <v>13090</v>
      </c>
    </row>
    <row r="29" customFormat="false" ht="15" hidden="false" customHeight="false" outlineLevel="0" collapsed="false">
      <c r="A29" s="29"/>
      <c r="B29" s="30" t="s">
        <v>129</v>
      </c>
      <c r="C29" s="29"/>
      <c r="D29" s="29"/>
      <c r="E29" s="29"/>
      <c r="F29" s="31" t="n">
        <f aca="false">SUM(F6:F28)</f>
        <v>67893</v>
      </c>
      <c r="G29" s="31" t="n">
        <f aca="false">SUM(G6:G28)</f>
        <v>80792</v>
      </c>
    </row>
    <row r="31" customFormat="false" ht="15" hidden="false" customHeight="false" outlineLevel="0" collapsed="false">
      <c r="A31" s="4" t="s">
        <v>130</v>
      </c>
    </row>
    <row r="32" customFormat="false" ht="15" hidden="false" customHeight="false" outlineLevel="0" collapsed="false">
      <c r="A32" s="22" t="s">
        <v>131</v>
      </c>
      <c r="B32" s="32" t="n">
        <f aca="false">F29</f>
        <v>67893</v>
      </c>
    </row>
    <row r="33" customFormat="false" ht="30" hidden="false" customHeight="true" outlineLevel="0" collapsed="false">
      <c r="A33" s="25" t="s">
        <v>132</v>
      </c>
      <c r="B33" s="25" t="s">
        <v>133</v>
      </c>
      <c r="C33" s="25" t="s">
        <v>134</v>
      </c>
      <c r="D33" s="25" t="s">
        <v>135</v>
      </c>
      <c r="E33" s="25" t="s">
        <v>136</v>
      </c>
    </row>
    <row r="34" customFormat="false" ht="15" hidden="false" customHeight="false" outlineLevel="0" collapsed="false">
      <c r="A34" s="24" t="n">
        <v>0.5</v>
      </c>
      <c r="B34" s="33" t="n">
        <f aca="false">ROUND($B$32*(1+A34)*(1+$G$3),0)</f>
        <v>121189</v>
      </c>
      <c r="C34" s="34" t="n">
        <f aca="false">ROUND(B34/(1+$G$3),0)</f>
        <v>101839</v>
      </c>
      <c r="D34" s="35" t="n">
        <f aca="false">B34-C34</f>
        <v>19350</v>
      </c>
      <c r="E34" s="36" t="n">
        <f aca="false">IF(C34=0,0,(C34-$B$32)/C34)</f>
        <v>0.33333006019305</v>
      </c>
    </row>
    <row r="35" customFormat="false" ht="15" hidden="false" customHeight="false" outlineLevel="0" collapsed="false">
      <c r="A35" s="24" t="n">
        <v>0.65</v>
      </c>
      <c r="B35" s="33" t="n">
        <f aca="false">ROUND($B$32*(1+A35)*(1+$G$3),0)</f>
        <v>133308</v>
      </c>
      <c r="C35" s="34" t="n">
        <f aca="false">ROUND(B35/(1+$G$3),0)</f>
        <v>112024</v>
      </c>
      <c r="D35" s="35" t="n">
        <f aca="false">B35-C35</f>
        <v>21284</v>
      </c>
      <c r="E35" s="36" t="n">
        <f aca="false">IF(C35=0,0,(C35-$B$32)/C35)</f>
        <v>0.393942369492252</v>
      </c>
    </row>
    <row r="36" customFormat="false" ht="15" hidden="false" customHeight="false" outlineLevel="0" collapsed="false">
      <c r="A36" s="24" t="n">
        <v>0.8</v>
      </c>
      <c r="B36" s="33" t="n">
        <f aca="false">ROUND($B$32*(1+A36)*(1+$G$3),0)</f>
        <v>145427</v>
      </c>
      <c r="C36" s="34" t="n">
        <f aca="false">ROUND(B36/(1+$G$3),0)</f>
        <v>122208</v>
      </c>
      <c r="D36" s="35" t="n">
        <f aca="false">B36-C36</f>
        <v>23219</v>
      </c>
      <c r="E36" s="36" t="n">
        <f aca="false">IF(C36=0,0,(C36-$B$32)/C36)</f>
        <v>0.444447172034564</v>
      </c>
    </row>
    <row r="38" customFormat="false" ht="23.85" hidden="false" customHeight="false" outlineLevel="0" collapsed="false">
      <c r="A38" s="22" t="s">
        <v>137</v>
      </c>
      <c r="B38" s="7"/>
      <c r="C38" s="22" t="s">
        <v>138</v>
      </c>
      <c r="D38" s="7"/>
      <c r="F38" s="22" t="s">
        <v>139</v>
      </c>
      <c r="G38" s="7"/>
    </row>
    <row r="40" customFormat="false" ht="15" hidden="false" customHeight="false" outlineLevel="0" collapsed="false">
      <c r="A40" s="37" t="s">
        <v>140</v>
      </c>
      <c r="B40" s="37"/>
      <c r="C40" s="37"/>
      <c r="D40" s="37"/>
      <c r="E40" s="37"/>
      <c r="F40" s="37"/>
      <c r="G40" s="37"/>
    </row>
  </sheetData>
  <mergeCells count="10">
    <mergeCell ref="A1:G1"/>
    <mergeCell ref="D2:E2"/>
    <mergeCell ref="A6:A7"/>
    <mergeCell ref="A8:A10"/>
    <mergeCell ref="A11:A12"/>
    <mergeCell ref="A14:A16"/>
    <mergeCell ref="A17:A18"/>
    <mergeCell ref="A19:A22"/>
    <mergeCell ref="A23:A27"/>
    <mergeCell ref="A40:G40"/>
  </mergeCells>
  <dataValidations count="1">
    <dataValidation allowBlank="true" errorStyle="stop" operator="between" showDropDown="false" showErrorMessage="false" showInputMessage="false" sqref="B38" type="list">
      <formula1>"Borrador,Autorizada"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7"/>
    <col collapsed="false" customWidth="true" hidden="false" outlineLevel="0" max="8" min="8" style="0" width="18"/>
    <col collapsed="false" customWidth="true" hidden="false" outlineLevel="0" max="9" min="9" style="0" width="16"/>
  </cols>
  <sheetData>
    <row r="1" customFormat="false" ht="31.5" hidden="false" customHeight="true" outlineLevel="0" collapsed="false">
      <c r="A1" s="5" t="s">
        <v>141</v>
      </c>
      <c r="B1" s="5" t="s">
        <v>142</v>
      </c>
      <c r="C1" s="5" t="s">
        <v>143</v>
      </c>
      <c r="D1" s="5" t="s">
        <v>144</v>
      </c>
      <c r="E1" s="5" t="s">
        <v>145</v>
      </c>
      <c r="F1" s="5" t="s">
        <v>146</v>
      </c>
      <c r="G1" s="5" t="s">
        <v>147</v>
      </c>
      <c r="H1" s="5" t="s">
        <v>148</v>
      </c>
      <c r="I1" s="5" t="s">
        <v>149</v>
      </c>
    </row>
    <row r="2" customFormat="false" ht="15" hidden="false" customHeight="false" outlineLevel="0" collapsed="false">
      <c r="A2" s="38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8" min="7" style="0" width="16"/>
  </cols>
  <sheetData>
    <row r="1" customFormat="false" ht="31.5" hidden="false" customHeight="true" outlineLevel="0" collapsed="false">
      <c r="A1" s="5" t="s">
        <v>141</v>
      </c>
      <c r="B1" s="5" t="s">
        <v>151</v>
      </c>
      <c r="C1" s="5" t="s">
        <v>152</v>
      </c>
      <c r="D1" s="5" t="s">
        <v>27</v>
      </c>
      <c r="E1" s="5" t="s">
        <v>144</v>
      </c>
      <c r="F1" s="5" t="s">
        <v>77</v>
      </c>
      <c r="G1" s="5" t="s">
        <v>78</v>
      </c>
      <c r="H1" s="5" t="s">
        <v>153</v>
      </c>
    </row>
    <row r="2" customFormat="false" ht="15" hidden="false" customHeight="false" outlineLevel="0" collapsed="false">
      <c r="A2" s="38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8"/>
    <col collapsed="false" customWidth="true" hidden="false" outlineLevel="0" max="6" min="4" style="0" width="16"/>
  </cols>
  <sheetData>
    <row r="1" customFormat="false" ht="36" hidden="false" customHeight="true" outlineLevel="0" collapsed="false">
      <c r="A1" s="13" t="s">
        <v>155</v>
      </c>
      <c r="B1" s="13"/>
      <c r="C1" s="13"/>
      <c r="D1" s="13"/>
      <c r="E1" s="13"/>
      <c r="F1" s="13"/>
    </row>
    <row r="2" customFormat="false" ht="15" hidden="false" customHeight="false" outlineLevel="0" collapsed="false">
      <c r="A2" s="39" t="s">
        <v>156</v>
      </c>
      <c r="B2" s="39"/>
      <c r="C2" s="39"/>
      <c r="D2" s="39"/>
      <c r="E2" s="39"/>
      <c r="F2" s="39"/>
    </row>
    <row r="4" customFormat="false" ht="21.75" hidden="false" customHeight="true" outlineLevel="0" collapsed="false">
      <c r="A4" s="22" t="s">
        <v>151</v>
      </c>
      <c r="B4" s="7"/>
      <c r="C4" s="22" t="s">
        <v>22</v>
      </c>
      <c r="D4" s="7"/>
    </row>
    <row r="5" customFormat="false" ht="21.75" hidden="false" customHeight="true" outlineLevel="0" collapsed="false">
      <c r="A5" s="22" t="s">
        <v>157</v>
      </c>
      <c r="B5" s="7"/>
      <c r="C5" s="22" t="s">
        <v>27</v>
      </c>
      <c r="D5" s="7"/>
    </row>
    <row r="6" customFormat="false" ht="21.75" hidden="false" customHeight="true" outlineLevel="0" collapsed="false">
      <c r="A6" s="22" t="s">
        <v>75</v>
      </c>
      <c r="B6" s="40" t="s">
        <v>43</v>
      </c>
      <c r="C6" s="22" t="s">
        <v>158</v>
      </c>
      <c r="D6" s="41" t="n">
        <f aca="false">IFERROR(VLOOKUP(B6,Inventario!$A$7:$E$20,5,0),0)</f>
        <v>69</v>
      </c>
    </row>
    <row r="7" customFormat="false" ht="21.75" hidden="false" customHeight="true" outlineLevel="0" collapsed="false">
      <c r="A7" s="22" t="s">
        <v>78</v>
      </c>
      <c r="B7" s="7"/>
      <c r="C7" s="22" t="s">
        <v>159</v>
      </c>
      <c r="D7" s="7"/>
    </row>
    <row r="8" customFormat="false" ht="21.75" hidden="false" customHeight="true" outlineLevel="0" collapsed="false"/>
    <row r="9" customFormat="false" ht="21.75" hidden="false" customHeight="true" outlineLevel="0" collapsed="false">
      <c r="A9" s="4" t="s">
        <v>160</v>
      </c>
    </row>
    <row r="10" customFormat="false" ht="21.75" hidden="false" customHeight="true" outlineLevel="0" collapsed="false">
      <c r="A10" s="42" t="s">
        <v>33</v>
      </c>
      <c r="B10" s="42" t="s">
        <v>24</v>
      </c>
      <c r="C10" s="42" t="s">
        <v>26</v>
      </c>
      <c r="D10" s="42" t="s">
        <v>27</v>
      </c>
      <c r="E10" s="42" t="s">
        <v>77</v>
      </c>
    </row>
    <row r="11" customFormat="false" ht="21.75" hidden="false" customHeight="true" outlineLevel="0" collapsed="false">
      <c r="A11" s="43"/>
      <c r="B11" s="43"/>
      <c r="C11" s="43"/>
      <c r="D11" s="43"/>
      <c r="E11" s="43"/>
    </row>
    <row r="12" customFormat="false" ht="21.75" hidden="false" customHeight="true" outlineLevel="0" collapsed="false">
      <c r="A12" s="43"/>
      <c r="B12" s="43"/>
      <c r="C12" s="43"/>
      <c r="D12" s="43"/>
      <c r="E12" s="43"/>
    </row>
    <row r="13" customFormat="false" ht="21.75" hidden="false" customHeight="true" outlineLevel="0" collapsed="false">
      <c r="A13" s="43"/>
      <c r="B13" s="43"/>
      <c r="C13" s="43"/>
      <c r="D13" s="43"/>
      <c r="E13" s="43"/>
    </row>
    <row r="14" customFormat="false" ht="21.75" hidden="false" customHeight="true" outlineLevel="0" collapsed="false">
      <c r="A14" s="43"/>
      <c r="B14" s="43"/>
      <c r="C14" s="43"/>
      <c r="D14" s="43"/>
      <c r="E14" s="43"/>
    </row>
    <row r="15" customFormat="false" ht="21.75" hidden="false" customHeight="true" outlineLevel="0" collapsed="false"/>
    <row r="16" customFormat="false" ht="21.75" hidden="false" customHeight="true" outlineLevel="0" collapsed="false">
      <c r="A16" s="4" t="s">
        <v>161</v>
      </c>
    </row>
    <row r="17" customFormat="false" ht="21.75" hidden="false" customHeight="true" outlineLevel="0" collapsed="false">
      <c r="A17" s="22" t="s">
        <v>162</v>
      </c>
      <c r="B17" s="7"/>
      <c r="C17" s="22" t="s">
        <v>163</v>
      </c>
      <c r="D17" s="7"/>
    </row>
    <row r="18" customFormat="false" ht="21.75" hidden="false" customHeight="true" outlineLevel="0" collapsed="false">
      <c r="A18" s="22" t="s">
        <v>164</v>
      </c>
      <c r="B18" s="7"/>
      <c r="C18" s="22" t="s">
        <v>165</v>
      </c>
      <c r="D18" s="7"/>
    </row>
    <row r="19" customFormat="false" ht="21.75" hidden="false" customHeight="true" outlineLevel="0" collapsed="false">
      <c r="A19" s="22" t="s">
        <v>166</v>
      </c>
      <c r="B19" s="7"/>
      <c r="C19" s="22" t="s">
        <v>167</v>
      </c>
      <c r="D19" s="7"/>
    </row>
    <row r="20" customFormat="false" ht="21.75" hidden="false" customHeight="true" outlineLevel="0" collapsed="false">
      <c r="A20" s="22" t="s">
        <v>168</v>
      </c>
      <c r="B20" s="7"/>
      <c r="C20" s="22" t="s">
        <v>169</v>
      </c>
      <c r="D20" s="7"/>
    </row>
    <row r="21" customFormat="false" ht="21.75" hidden="false" customHeight="true" outlineLevel="0" collapsed="false"/>
    <row r="22" customFormat="false" ht="21.75" hidden="false" customHeight="true" outlineLevel="0" collapsed="false">
      <c r="A22" s="4" t="s">
        <v>170</v>
      </c>
    </row>
    <row r="23" customFormat="false" ht="21.75" hidden="false" customHeight="true" outlineLevel="0" collapsed="false">
      <c r="A23" s="42" t="s">
        <v>171</v>
      </c>
      <c r="B23" s="42" t="s">
        <v>172</v>
      </c>
      <c r="C23" s="42" t="s">
        <v>173</v>
      </c>
      <c r="D23" s="42" t="s">
        <v>174</v>
      </c>
      <c r="E23" s="42" t="s">
        <v>175</v>
      </c>
      <c r="F23" s="42" t="s">
        <v>176</v>
      </c>
      <c r="G23" s="42" t="s">
        <v>177</v>
      </c>
    </row>
    <row r="24" customFormat="false" ht="21.75" hidden="false" customHeight="true" outlineLevel="0" collapsed="false">
      <c r="A24" s="44"/>
      <c r="B24" s="44"/>
      <c r="C24" s="44"/>
      <c r="D24" s="44"/>
      <c r="E24" s="44"/>
      <c r="F24" s="44"/>
      <c r="G24" s="44"/>
    </row>
    <row r="25" customFormat="false" ht="21.75" hidden="false" customHeight="true" outlineLevel="0" collapsed="false"/>
    <row r="26" customFormat="false" ht="21.75" hidden="false" customHeight="true" outlineLevel="0" collapsed="false">
      <c r="A26" s="4" t="s">
        <v>178</v>
      </c>
    </row>
    <row r="27" customFormat="false" ht="21.75" hidden="false" customHeight="true" outlineLevel="0" collapsed="false">
      <c r="A27" s="45" t="s">
        <v>179</v>
      </c>
      <c r="B27" s="45"/>
      <c r="C27" s="45"/>
      <c r="D27" s="45"/>
      <c r="E27" s="45"/>
      <c r="F27" s="45"/>
    </row>
    <row r="28" customFormat="false" ht="21.75" hidden="false" customHeight="true" outlineLevel="0" collapsed="false">
      <c r="A28" s="45"/>
      <c r="B28" s="45"/>
      <c r="C28" s="45"/>
      <c r="D28" s="45"/>
      <c r="E28" s="45"/>
      <c r="F28" s="45"/>
    </row>
    <row r="29" customFormat="false" ht="21.75" hidden="false" customHeight="true" outlineLevel="0" collapsed="false">
      <c r="A29" s="45"/>
      <c r="B29" s="45"/>
      <c r="C29" s="45"/>
      <c r="D29" s="45"/>
      <c r="E29" s="45"/>
      <c r="F29" s="45"/>
    </row>
    <row r="30" customFormat="false" ht="21.75" hidden="false" customHeight="true" outlineLevel="0" collapsed="false"/>
    <row r="31" customFormat="false" ht="21.75" hidden="false" customHeight="true" outlineLevel="0" collapsed="false">
      <c r="A31" s="22" t="s">
        <v>180</v>
      </c>
      <c r="B31" s="23"/>
      <c r="C31" s="23"/>
      <c r="D31" s="22" t="s">
        <v>181</v>
      </c>
      <c r="E31" s="7"/>
    </row>
  </sheetData>
  <mergeCells count="4">
    <mergeCell ref="A1:F1"/>
    <mergeCell ref="A2:F2"/>
    <mergeCell ref="A27:F29"/>
    <mergeCell ref="B31:C31"/>
  </mergeCells>
  <dataValidations count="2">
    <dataValidation allowBlank="true" errorStyle="stop" operator="between" showDropDown="false" showErrorMessage="false" showInputMessage="false" sqref="B6" type="list">
      <formula1>Inventario!$A$7:$A$11</formula1>
      <formula2>0</formula2>
    </dataValidation>
    <dataValidation allowBlank="true" errorStyle="stop" operator="between" showDropDown="false" showErrorMessage="false" showInputMessage="false" sqref="E31" type="list">
      <formula1>"Borrador,Autorizada,En proceso,Cortada"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2026-06-27T03:06:43Z</dcterms:created>
  <dc:creator>openpyxl</dc:creator>
  <dc:description/>
  <dc:language>en-US</dc:language>
  <cp:lastModifiedBy/>
  <dcterms:modified xsi:type="dcterms:W3CDTF">2026-06-27T03:06:43Z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