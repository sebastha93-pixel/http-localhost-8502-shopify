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Órdenes de Ingreso" sheetId="2" state="visible" r:id="rId4"/>
    <sheet name="Inventario" sheetId="3" state="visible" r:id="rId5"/>
    <sheet name="Cortes" sheetId="4" state="visible" r:id="rId6"/>
    <sheet name="Precosteo (formato)" sheetId="5" state="visible" r:id="rId7"/>
    <sheet name="Histórico Precosteo" sheetId="6" state="visible" r:id="rId8"/>
    <sheet name="Orden de Corte (formato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sistema</author>
  </authors>
  <commentList>
    <comment ref="O1" authorId="0">
      <text>
        <r>
          <rPr>
            <sz val="10"/>
            <rFont val="Arial"/>
            <family val="2"/>
          </rPr>
          <t xml:space="preserve">Lo genera el sistema (ROLLO-2026-000001).</t>
        </r>
      </text>
    </comment>
    <comment ref="P1" authorId="0">
      <text>
        <r>
          <rPr>
            <sz val="10"/>
            <rFont val="Arial"/>
            <family val="2"/>
          </rPr>
          <t xml:space="preserve">Lo genera el sistema (Code128).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conexión</author>
  </authors>
  <commentList>
    <comment ref="B1" authorId="0">
      <text>
        <r>
          <rPr>
            <sz val="10"/>
            <rFont val="Arial"/>
            <family val="2"/>
          </rPr>
          <t xml:space="preserve">Elige la tela por nombre (desplegable). Descuenta del Inventario.</t>
        </r>
      </text>
    </comment>
  </commentList>
</comments>
</file>

<file path=xl/sharedStrings.xml><?xml version="1.0" encoding="utf-8"?>
<sst xmlns="http://schemas.openxmlformats.org/spreadsheetml/2006/main" count="224" uniqueCount="187">
  <si>
    <t xml:space="preserve">MALE'DENIM OS — Plantilla de Producción (Fase 1)</t>
  </si>
  <si>
    <t xml:space="preserve">Hojas conectadas con fórmulas para mostrar la mecánica del módulo.</t>
  </si>
  <si>
    <t xml:space="preserve">1) Órdenes de Ingreso</t>
  </si>
  <si>
    <t xml:space="preserve">Transcribe la hoja de la textilera, un renglón por rollo. Columnas grises (código/barcode) las genera el sistema.</t>
  </si>
  <si>
    <t xml:space="preserve">2) Inventario</t>
  </si>
  <si>
    <t xml:space="preserve">Se arma solo: unifica por nombre de tela, cuenta rollos y muestra metros disponibles (recibidos − cortados). Desplegable para ver una tela.</t>
  </si>
  <si>
    <t xml:space="preserve">3) Cortes</t>
  </si>
  <si>
    <t xml:space="preserve">Eliges la tela POR NOMBRE (desplegable) y los metros; el Inventario se descuenta solo.</t>
  </si>
  <si>
    <t xml:space="preserve">4) Precosteo (formato)</t>
  </si>
  <si>
    <t xml:space="preserve">Espejo de tu formato 14500-1: líneas por categoría con IVA, costo total y precio sugerido. Al firmar se archiva en Histórico y se limpia.</t>
  </si>
  <si>
    <t xml:space="preserve">5) Histórico Precosteo</t>
  </si>
  <si>
    <t xml:space="preserve">Donde quedan archivados los precosteos firmados (lo llena el botón Guardar y firmar).</t>
  </si>
  <si>
    <t xml:space="preserve">6) Orden de Corte (formato)</t>
  </si>
  <si>
    <t xml:space="preserve">Documento que da luz verde al cortador.</t>
  </si>
  <si>
    <t xml:space="preserve">Colores</t>
  </si>
  <si>
    <t xml:space="preserve">Encabezado azul</t>
  </si>
  <si>
    <t xml:space="preserve">Lo llenas tú.</t>
  </si>
  <si>
    <t xml:space="preserve">Encabezado gris</t>
  </si>
  <si>
    <t xml:space="preserve">Lo llena el sistema.</t>
  </si>
  <si>
    <t xml:space="preserve">Texto azul</t>
  </si>
  <si>
    <t xml:space="preserve">Ejemplos — bórralos.</t>
  </si>
  <si>
    <t xml:space="preserve">Guardar y limpiar (reset a 0)</t>
  </si>
  <si>
    <t xml:space="preserve">En Google Sheets se activa con el script Apps Script adjunto: archiva el formato en Histórico y deja los campos en 0. En el módulo es automático.</t>
  </si>
  <si>
    <t xml:space="preserve">textilera</t>
  </si>
  <si>
    <t xml:space="preserve">numero_documento</t>
  </si>
  <si>
    <t xml:space="preserve">tipo_documento</t>
  </si>
  <si>
    <t xml:space="preserve">fecha</t>
  </si>
  <si>
    <t xml:space="preserve">orden_compra</t>
  </si>
  <si>
    <t xml:space="preserve">numero_rollo</t>
  </si>
  <si>
    <t xml:space="preserve">serial</t>
  </si>
  <si>
    <t xml:space="preserve">lote_fabrica</t>
  </si>
  <si>
    <t xml:space="preserve">tono</t>
  </si>
  <si>
    <t xml:space="preserve">referencia_tela</t>
  </si>
  <si>
    <t xml:space="preserve">descripcion_tela</t>
  </si>
  <si>
    <t xml:space="preserve">ancho_cm</t>
  </si>
  <si>
    <t xml:space="preserve">metros</t>
  </si>
  <si>
    <t xml:space="preserve">costo_metro_cop</t>
  </si>
  <si>
    <t xml:space="preserve">codigo_interno</t>
  </si>
  <si>
    <t xml:space="preserve">barcode</t>
  </si>
  <si>
    <t xml:space="preserve">Primatela</t>
  </si>
  <si>
    <t xml:space="preserve">7572901088</t>
  </si>
  <si>
    <t xml:space="preserve">remision</t>
  </si>
  <si>
    <t xml:space="preserve">2025-10-29</t>
  </si>
  <si>
    <t xml:space="preserve">OC-1042</t>
  </si>
  <si>
    <t xml:space="preserve">6000321268</t>
  </si>
  <si>
    <t xml:space="preserve">0001319184</t>
  </si>
  <si>
    <t xml:space="preserve">SANDDENIM-0009</t>
  </si>
  <si>
    <t xml:space="preserve">SANDDENIM</t>
  </si>
  <si>
    <t xml:space="preserve">150</t>
  </si>
  <si>
    <t xml:space="preserve">6000321251</t>
  </si>
  <si>
    <t xml:space="preserve">Contacto</t>
  </si>
  <si>
    <t xml:space="preserve">30-10002</t>
  </si>
  <si>
    <t xml:space="preserve">lista_empaque</t>
  </si>
  <si>
    <t xml:space="preserve">2026-06-19</t>
  </si>
  <si>
    <t xml:space="preserve">PF-4250</t>
  </si>
  <si>
    <t xml:space="preserve">654</t>
  </si>
  <si>
    <t xml:space="preserve">53242</t>
  </si>
  <si>
    <t xml:space="preserve">1</t>
  </si>
  <si>
    <t xml:space="preserve">A</t>
  </si>
  <si>
    <t xml:space="preserve">922020175</t>
  </si>
  <si>
    <t xml:space="preserve">FUNKY</t>
  </si>
  <si>
    <t xml:space="preserve">492</t>
  </si>
  <si>
    <t xml:space="preserve">53080</t>
  </si>
  <si>
    <t xml:space="preserve">Megatex</t>
  </si>
  <si>
    <t xml:space="preserve">FEMT16043</t>
  </si>
  <si>
    <t xml:space="preserve">factura</t>
  </si>
  <si>
    <t xml:space="preserve">2026-02-12</t>
  </si>
  <si>
    <t xml:space="preserve">0000</t>
  </si>
  <si>
    <t xml:space="preserve">TOTAL</t>
  </si>
  <si>
    <t xml:space="preserve">2600772</t>
  </si>
  <si>
    <t xml:space="preserve">BRUSELAS INDIGO 9.8oz</t>
  </si>
  <si>
    <t xml:space="preserve">INVENTARIO DE TELA — unificado por nombre</t>
  </si>
  <si>
    <t xml:space="preserve">Ver tela:</t>
  </si>
  <si>
    <t xml:space="preserve">Rollos:</t>
  </si>
  <si>
    <t xml:space="preserve">nombre_tela</t>
  </si>
  <si>
    <t xml:space="preserve">nro_rollos</t>
  </si>
  <si>
    <t xml:space="preserve">metros_recibidos</t>
  </si>
  <si>
    <t xml:space="preserve">metros_cortados</t>
  </si>
  <si>
    <t xml:space="preserve">metros_disponibles</t>
  </si>
  <si>
    <t xml:space="preserve">tela_nombre</t>
  </si>
  <si>
    <t xml:space="preserve">referencia_prenda</t>
  </si>
  <si>
    <t xml:space="preserve">metros_usados</t>
  </si>
  <si>
    <t xml:space="preserve">responsable</t>
  </si>
  <si>
    <t xml:space="preserve">2026-06-26</t>
  </si>
  <si>
    <t xml:space="preserve">REF 14500-1</t>
  </si>
  <si>
    <t xml:space="preserve">Cortador 1</t>
  </si>
  <si>
    <t xml:space="preserve">PRECOSTEO · MALE'DENIM OS</t>
  </si>
  <si>
    <t xml:space="preserve">REF</t>
  </si>
  <si>
    <t xml:space="preserve">14500-1</t>
  </si>
  <si>
    <t xml:space="preserve">NOMBRE</t>
  </si>
  <si>
    <t xml:space="preserve">SKINNY OSCURO</t>
  </si>
  <si>
    <t xml:space="preserve">FOTO (link)</t>
  </si>
  <si>
    <t xml:space="preserve">TELA</t>
  </si>
  <si>
    <t xml:space="preserve">VERBENA</t>
  </si>
  <si>
    <t xml:space="preserve">COLOR</t>
  </si>
  <si>
    <t xml:space="preserve">OSCURO</t>
  </si>
  <si>
    <t xml:space="preserve">IVA %</t>
  </si>
  <si>
    <t xml:space="preserve">CATEGORIA</t>
  </si>
  <si>
    <t xml:space="preserve">ITEM</t>
  </si>
  <si>
    <t xml:space="preserve">VALOR UNITARIO</t>
  </si>
  <si>
    <t xml:space="preserve">CANTIDAD</t>
  </si>
  <si>
    <t xml:space="preserve">IVA</t>
  </si>
  <si>
    <t xml:space="preserve">TOTAL SIN IVA</t>
  </si>
  <si>
    <t xml:space="preserve">TOTAL CON IVA</t>
  </si>
  <si>
    <t xml:space="preserve">DIRTY JEANS</t>
  </si>
  <si>
    <t xml:space="preserve">PRECIO TELA</t>
  </si>
  <si>
    <t xml:space="preserve">PRECIO COMPLEMENTO</t>
  </si>
  <si>
    <t xml:space="preserve">MP</t>
  </si>
  <si>
    <t xml:space="preserve">FORRO</t>
  </si>
  <si>
    <t xml:space="preserve">COMPLEMENTO</t>
  </si>
  <si>
    <t xml:space="preserve">PROCESO EN MP</t>
  </si>
  <si>
    <t xml:space="preserve">BORDADO</t>
  </si>
  <si>
    <t xml:space="preserve">CORE</t>
  </si>
  <si>
    <t xml:space="preserve">PROCESO</t>
  </si>
  <si>
    <t xml:space="preserve">CONFECCION</t>
  </si>
  <si>
    <t xml:space="preserve">INSUMO CONFECCION</t>
  </si>
  <si>
    <t xml:space="preserve">CIERRE</t>
  </si>
  <si>
    <t xml:space="preserve">MARQUILLA TALLA</t>
  </si>
  <si>
    <t xml:space="preserve">BANDERA COLOMBIA</t>
  </si>
  <si>
    <t xml:space="preserve">LAVANDERIA</t>
  </si>
  <si>
    <t xml:space="preserve">TERMINACION</t>
  </si>
  <si>
    <t xml:space="preserve">INSUMO EMPAQUE</t>
  </si>
  <si>
    <t xml:space="preserve">CODIGO</t>
  </si>
  <si>
    <t xml:space="preserve">PRETINERA</t>
  </si>
  <si>
    <t xml:space="preserve">INSTRUCCION LAVADO IMPRESA</t>
  </si>
  <si>
    <t xml:space="preserve">EMPAQUE</t>
  </si>
  <si>
    <t xml:space="preserve">INSUMO TERMINACION</t>
  </si>
  <si>
    <t xml:space="preserve">BOTON 27 L PASTA</t>
  </si>
  <si>
    <t xml:space="preserve">REMACHE</t>
  </si>
  <si>
    <t xml:space="preserve">GARRA</t>
  </si>
  <si>
    <t xml:space="preserve">APLIQUES PROFINTEX</t>
  </si>
  <si>
    <t xml:space="preserve">ENTRETELA</t>
  </si>
  <si>
    <t xml:space="preserve">GASTOS FIJOS</t>
  </si>
  <si>
    <t xml:space="preserve">COSTO TOTAL</t>
  </si>
  <si>
    <t xml:space="preserve">PRECIO SUGERIDO DE VENTA (CON IVA)</t>
  </si>
  <si>
    <t xml:space="preserve">Costo base (sin IVA)</t>
  </si>
  <si>
    <t xml:space="preserve">Margen %</t>
  </si>
  <si>
    <t xml:space="preserve">PRECIO VENTA (con IVA)</t>
  </si>
  <si>
    <t xml:space="preserve">Precio antes de IVA</t>
  </si>
  <si>
    <t xml:space="preserve">IVA 19%</t>
  </si>
  <si>
    <t xml:space="preserve">Margen real %</t>
  </si>
  <si>
    <t xml:space="preserve">ESTADO</t>
  </si>
  <si>
    <t xml:space="preserve">AUTORIZADO POR</t>
  </si>
  <si>
    <t xml:space="preserve">FECHA</t>
  </si>
  <si>
    <t xml:space="preserve">▶ Botón 'Guardar y firmar' (Apps Script): archiva en 'Histórico Precosteo' y limpia el formato a 0.</t>
  </si>
  <si>
    <t xml:space="preserve">fecha_firma</t>
  </si>
  <si>
    <t xml:space="preserve">ref</t>
  </si>
  <si>
    <t xml:space="preserve">nombre</t>
  </si>
  <si>
    <t xml:space="preserve">tela</t>
  </si>
  <si>
    <t xml:space="preserve">color</t>
  </si>
  <si>
    <t xml:space="preserve">costo_total_sin_iva</t>
  </si>
  <si>
    <t xml:space="preserve">costo_total_con_iva</t>
  </si>
  <si>
    <t xml:space="preserve">precio_sugerido</t>
  </si>
  <si>
    <t xml:space="preserve">autorizado_por</t>
  </si>
  <si>
    <t xml:space="preserve">(las filas firmadas se agregan aquí automáticamente)</t>
  </si>
  <si>
    <t xml:space="preserve">ORDEN DE CORTE · MALE'DENIM OS</t>
  </si>
  <si>
    <t xml:space="preserve">Documento que autoriza al cortador a iniciar (luz verde)</t>
  </si>
  <si>
    <t xml:space="preserve">Consecutivo</t>
  </si>
  <si>
    <t xml:space="preserve">Fecha</t>
  </si>
  <si>
    <t xml:space="preserve">Referencia (prenda)</t>
  </si>
  <si>
    <t xml:space="preserve">Tono</t>
  </si>
  <si>
    <t xml:space="preserve">Tela (nombre)</t>
  </si>
  <si>
    <t xml:space="preserve">Disponible (m)</t>
  </si>
  <si>
    <t xml:space="preserve">Responsable</t>
  </si>
  <si>
    <t xml:space="preserve">Fecha límite</t>
  </si>
  <si>
    <t xml:space="preserve">ROLLOS ASIGNADOS</t>
  </si>
  <si>
    <t xml:space="preserve">TRAZO Y TENDIDO</t>
  </si>
  <si>
    <t xml:space="preserve">Largo trazo (m)</t>
  </si>
  <si>
    <t xml:space="preserve">Nº capas</t>
  </si>
  <si>
    <t xml:space="preserve">Prendas por trazo</t>
  </si>
  <si>
    <t xml:space="preserve">Prendas estimadas</t>
  </si>
  <si>
    <t xml:space="preserve">Rend. teórico (m/prenda)</t>
  </si>
  <si>
    <t xml:space="preserve">Consumo real</t>
  </si>
  <si>
    <t xml:space="preserve">Diferencia %</t>
  </si>
  <si>
    <t xml:space="preserve">Merma (% o m)</t>
  </si>
  <si>
    <t xml:space="preserve">CURVA DE TALLAS</t>
  </si>
  <si>
    <t xml:space="preserve">4</t>
  </si>
  <si>
    <t xml:space="preserve">6</t>
  </si>
  <si>
    <t xml:space="preserve">8</t>
  </si>
  <si>
    <t xml:space="preserve">10</t>
  </si>
  <si>
    <t xml:space="preserve">12</t>
  </si>
  <si>
    <t xml:space="preserve">14</t>
  </si>
  <si>
    <t xml:space="preserve">16</t>
  </si>
  <si>
    <t xml:space="preserve">INDICACIONES AL CORTADOR</t>
  </si>
  <si>
    <t xml:space="preserve">(Sentido de la tela, defectos a evitar, notas de calidad, etc.)</t>
  </si>
  <si>
    <t xml:space="preserve">AUTORIZADO POR (firma)</t>
  </si>
  <si>
    <t xml:space="preserve">Estado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</si>
</sst>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"/>
    <numFmt numFmtId="168" formatCode="#,##0.0"/>
    <numFmt numFmtId="169" formatCode="0%"/>
    <numFmt numFmtId="170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E5A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5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E7A46"/>
      <name val="Arial"/>
      <family val="0"/>
      <charset val="1"/>
    </font>
    <font>
      <b val="true"/>
      <sz val="11"/>
      <color rgb="FF1E7A46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2E5A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1"/>
      <color rgb="FF33333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9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8A94A6"/>
        <bgColor rgb="FF999999"/>
      </patternFill>
    </fill>
    <fill>
      <patternFill patternType="solid">
        <fgColor rgb="FFEEF2F7"/>
        <bgColor rgb="FFFFFFFF"/>
      </patternFill>
    </fill>
    <fill>
      <patternFill patternType="solid">
        <fgColor rgb="FFFFF6CC"/>
        <bgColor rgb="FFEEF2F7"/>
      </patternFill>
    </fill>
    <fill>
      <patternFill patternType="solid">
        <fgColor rgb="FF2E5A88"/>
        <bgColor rgb="FF1F3A5F"/>
      </patternFill>
    </fill>
    <fill>
      <patternFill patternType="solid">
        <fgColor rgb="FFDCE5EF"/>
        <bgColor rgb="FFEEF2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  <diagonal/>
    </border>
    <border diagonalUp="false" diagonalDown="false">
      <left style="thin">
        <color rgb="FFC8D0DA"/>
      </left>
      <right/>
      <top style="thin">
        <color rgb="FFC8D0DA"/>
      </top>
      <bottom style="thin">
        <color rgb="FFC8D0DA"/>
      </bottom>
      <diagonal/>
    </border>
    <border diagonalUp="false" diagonalDown="false">
      <left style="thin">
        <color rgb="FFC8D0DA"/>
      </left>
      <right/>
      <top style="thin">
        <color rgb="FFC8D0D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A94A6"/>
      <rgbColor rgb="FF9999FF"/>
      <rgbColor rgb="FF993366"/>
      <rgbColor rgb="FFFFF6CC"/>
      <rgbColor rgb="FFEEF2F7"/>
      <rgbColor rgb="FF660066"/>
      <rgbColor rgb="FFFF8080"/>
      <rgbColor rgb="FF0066CC"/>
      <rgbColor rgb="FFC8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5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2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/>
      <c r="B3" s="4"/>
    </row>
    <row r="4" customFormat="false" ht="15" hidden="false" customHeight="true" outlineLevel="0" collapsed="false">
      <c r="A4" s="5" t="s">
        <v>1</v>
      </c>
      <c r="B4" s="4"/>
    </row>
    <row r="5" customFormat="false" ht="15" hidden="false" customHeight="true" outlineLevel="0" collapsed="false">
      <c r="A5" s="3"/>
      <c r="B5" s="4"/>
    </row>
    <row r="6" customFormat="false" ht="26.25" hidden="false" customHeight="true" outlineLevel="0" collapsed="false">
      <c r="A6" s="3" t="s">
        <v>2</v>
      </c>
      <c r="B6" s="4" t="s">
        <v>3</v>
      </c>
    </row>
    <row r="7" customFormat="false" ht="26.25" hidden="false" customHeight="true" outlineLevel="0" collapsed="false">
      <c r="A7" s="3" t="s">
        <v>4</v>
      </c>
      <c r="B7" s="4" t="s">
        <v>5</v>
      </c>
    </row>
    <row r="8" customFormat="false" ht="15" hidden="false" customHeight="true" outlineLevel="0" collapsed="false">
      <c r="A8" s="3" t="s">
        <v>6</v>
      </c>
      <c r="B8" s="4" t="s">
        <v>7</v>
      </c>
    </row>
    <row r="9" customFormat="false" ht="26.25" hidden="false" customHeight="true" outlineLevel="0" collapsed="false">
      <c r="A9" s="3" t="s">
        <v>8</v>
      </c>
      <c r="B9" s="4" t="s">
        <v>9</v>
      </c>
    </row>
    <row r="10" customFormat="false" ht="15" hidden="false" customHeight="true" outlineLevel="0" collapsed="false">
      <c r="A10" s="3" t="s">
        <v>10</v>
      </c>
      <c r="B10" s="4" t="s">
        <v>11</v>
      </c>
    </row>
    <row r="11" customFormat="false" ht="15" hidden="false" customHeight="true" outlineLevel="0" collapsed="false">
      <c r="A11" s="3" t="s">
        <v>12</v>
      </c>
      <c r="B11" s="4" t="s">
        <v>13</v>
      </c>
    </row>
    <row r="12" customFormat="false" ht="15" hidden="false" customHeight="true" outlineLevel="0" collapsed="false">
      <c r="A12" s="3"/>
      <c r="B12" s="4"/>
    </row>
    <row r="13" customFormat="false" ht="15" hidden="false" customHeight="true" outlineLevel="0" collapsed="false">
      <c r="A13" s="5" t="s">
        <v>14</v>
      </c>
      <c r="B13" s="4"/>
    </row>
    <row r="14" customFormat="false" ht="15" hidden="false" customHeight="true" outlineLevel="0" collapsed="false">
      <c r="A14" s="3" t="s">
        <v>15</v>
      </c>
      <c r="B14" s="4" t="s">
        <v>16</v>
      </c>
    </row>
    <row r="15" customFormat="false" ht="15" hidden="false" customHeight="true" outlineLevel="0" collapsed="false">
      <c r="A15" s="3" t="s">
        <v>17</v>
      </c>
      <c r="B15" s="4" t="s">
        <v>18</v>
      </c>
    </row>
    <row r="16" customFormat="false" ht="15" hidden="false" customHeight="true" outlineLevel="0" collapsed="false">
      <c r="A16" s="3" t="s">
        <v>19</v>
      </c>
      <c r="B16" s="4" t="s">
        <v>20</v>
      </c>
    </row>
    <row r="17" customFormat="false" ht="15" hidden="false" customHeight="true" outlineLevel="0" collapsed="false">
      <c r="A17" s="3"/>
      <c r="B17" s="4"/>
    </row>
    <row r="18" customFormat="false" ht="26.25" hidden="false" customHeight="true" outlineLevel="0" collapsed="false">
      <c r="A18" s="3" t="s">
        <v>21</v>
      </c>
      <c r="B18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3"/>
    <col collapsed="false" customWidth="true" hidden="false" outlineLevel="0" max="9" min="9" style="1" width="6"/>
    <col collapsed="false" customWidth="true" hidden="false" outlineLevel="0" max="10" min="10" style="1" width="15"/>
    <col collapsed="false" customWidth="true" hidden="false" outlineLevel="0" max="11" min="11" style="1" width="22"/>
    <col collapsed="false" customWidth="true" hidden="false" outlineLevel="0" max="13" min="12" style="1" width="9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16" min="16" style="1" width="15"/>
  </cols>
  <sheetData>
    <row r="1" customFormat="false" ht="31.5" hidden="false" customHeight="tru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7" t="s">
        <v>37</v>
      </c>
      <c r="P1" s="7" t="s">
        <v>38</v>
      </c>
    </row>
    <row r="2" customFormat="false" ht="15" hidden="false" customHeight="true" outlineLevel="0" collapsed="false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/>
      <c r="H2" s="8" t="s">
        <v>45</v>
      </c>
      <c r="I2" s="8"/>
      <c r="J2" s="8" t="s">
        <v>46</v>
      </c>
      <c r="K2" s="8" t="s">
        <v>47</v>
      </c>
      <c r="L2" s="9" t="s">
        <v>48</v>
      </c>
      <c r="M2" s="10" t="n">
        <v>47.9</v>
      </c>
      <c r="N2" s="9" t="n">
        <v>9800</v>
      </c>
      <c r="O2" s="11"/>
      <c r="P2" s="11"/>
    </row>
    <row r="3" customFormat="false" ht="15" hidden="false" customHeight="true" outlineLevel="0" collapsed="false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49</v>
      </c>
      <c r="G3" s="8"/>
      <c r="H3" s="8" t="s">
        <v>45</v>
      </c>
      <c r="I3" s="8"/>
      <c r="J3" s="8" t="s">
        <v>46</v>
      </c>
      <c r="K3" s="8" t="s">
        <v>47</v>
      </c>
      <c r="L3" s="9" t="s">
        <v>48</v>
      </c>
      <c r="M3" s="10" t="n">
        <v>51.1</v>
      </c>
      <c r="N3" s="9" t="n">
        <v>9800</v>
      </c>
      <c r="O3" s="11"/>
      <c r="P3" s="11"/>
    </row>
    <row r="4" customFormat="false" ht="15" hidden="false" customHeight="true" outlineLevel="0" collapsed="false">
      <c r="A4" s="8" t="s">
        <v>50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60</v>
      </c>
      <c r="L4" s="9" t="s">
        <v>48</v>
      </c>
      <c r="M4" s="10" t="n">
        <v>82</v>
      </c>
      <c r="N4" s="9" t="n">
        <v>12500</v>
      </c>
      <c r="O4" s="11"/>
      <c r="P4" s="11"/>
    </row>
    <row r="5" customFormat="false" ht="15" hidden="false" customHeight="true" outlineLevel="0" collapsed="false">
      <c r="A5" s="8" t="s">
        <v>50</v>
      </c>
      <c r="B5" s="8" t="s">
        <v>51</v>
      </c>
      <c r="C5" s="8" t="s">
        <v>52</v>
      </c>
      <c r="D5" s="8" t="s">
        <v>53</v>
      </c>
      <c r="E5" s="8" t="s">
        <v>54</v>
      </c>
      <c r="F5" s="8" t="s">
        <v>61</v>
      </c>
      <c r="G5" s="8" t="s">
        <v>62</v>
      </c>
      <c r="H5" s="8" t="s">
        <v>57</v>
      </c>
      <c r="I5" s="8" t="s">
        <v>58</v>
      </c>
      <c r="J5" s="8" t="s">
        <v>59</v>
      </c>
      <c r="K5" s="8" t="s">
        <v>60</v>
      </c>
      <c r="L5" s="9" t="s">
        <v>48</v>
      </c>
      <c r="M5" s="10" t="n">
        <v>80.1</v>
      </c>
      <c r="N5" s="9" t="n">
        <v>12500</v>
      </c>
      <c r="O5" s="11"/>
      <c r="P5" s="11"/>
    </row>
    <row r="6" customFormat="false" ht="15" hidden="false" customHeight="true" outlineLevel="0" collapsed="false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/>
      <c r="H6" s="8"/>
      <c r="I6" s="8"/>
      <c r="J6" s="8" t="s">
        <v>69</v>
      </c>
      <c r="K6" s="8" t="s">
        <v>70</v>
      </c>
      <c r="L6" s="9" t="s">
        <v>48</v>
      </c>
      <c r="M6" s="10" t="n">
        <v>307.7</v>
      </c>
      <c r="N6" s="9" t="n">
        <v>16000</v>
      </c>
      <c r="O6" s="11"/>
      <c r="P6" s="11"/>
    </row>
  </sheetData>
  <dataValidations count="1">
    <dataValidation allowBlank="true" errorStyle="stop" operator="between" showDropDown="false" showErrorMessage="false" showInputMessage="false" sqref="C2:C1000" type="list">
      <formula1>"remision,factura,lista_empaque,consulta"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5"/>
    <col collapsed="false" customWidth="true" hidden="false" outlineLevel="0" max="5" min="5" style="1" width="17"/>
  </cols>
  <sheetData>
    <row r="1" customFormat="false" ht="30" hidden="false" customHeight="true" outlineLevel="0" collapsed="false">
      <c r="A1" s="12" t="s">
        <v>71</v>
      </c>
      <c r="B1" s="12"/>
      <c r="C1" s="12"/>
      <c r="D1" s="12"/>
      <c r="E1" s="12"/>
    </row>
    <row r="3" customFormat="false" ht="15" hidden="false" customHeight="true" outlineLevel="0" collapsed="false">
      <c r="A3" s="5" t="s">
        <v>72</v>
      </c>
      <c r="B3" s="13" t="s">
        <v>47</v>
      </c>
      <c r="C3" s="5" t="s">
        <v>73</v>
      </c>
      <c r="D3" s="14" t="n">
        <f aca="false">IFERROR(VLOOKUP(B3,$A$7:$E$20,2,0),0)</f>
        <v>2</v>
      </c>
      <c r="E3" s="15" t="str">
        <f aca="false">IFERROR("Disponible: "&amp;TEXT(VLOOKUP(B3,$A$7:$E$20,5,0),"#,##0.0")&amp;" m","")</f>
        <v>Disponible: 69.0 m</v>
      </c>
    </row>
    <row r="6" customFormat="false" ht="23.25" hidden="false" customHeight="true" outlineLevel="0" collapsed="false">
      <c r="A6" s="16" t="s">
        <v>74</v>
      </c>
      <c r="B6" s="16" t="s">
        <v>75</v>
      </c>
      <c r="C6" s="16" t="s">
        <v>76</v>
      </c>
      <c r="D6" s="16" t="s">
        <v>77</v>
      </c>
      <c r="E6" s="16" t="s">
        <v>78</v>
      </c>
    </row>
    <row r="7" customFormat="false" ht="15" hidden="false" customHeight="true" outlineLevel="0" collapsed="false">
      <c r="A7" s="8" t="s">
        <v>47</v>
      </c>
      <c r="B7" s="17" t="n">
        <f aca="false">IF($A7="","",COUNTIF('Órdenes de Ingreso'!$K:$K,$A7))</f>
        <v>2</v>
      </c>
      <c r="C7" s="18" t="n">
        <f aca="false">IF($A7="","",SUMIF('Órdenes de Ingreso'!$K:$K,$A7,'Órdenes de Ingreso'!$M:$M))</f>
        <v>99</v>
      </c>
      <c r="D7" s="18" t="n">
        <f aca="false">IF($A7="","",SUMIF(Cortes!$B:$B,$A7,Cortes!$D:$D))</f>
        <v>30</v>
      </c>
      <c r="E7" s="18" t="n">
        <f aca="false">IF($A7="","",$C7-$D7)</f>
        <v>69</v>
      </c>
    </row>
    <row r="8" customFormat="false" ht="15" hidden="false" customHeight="true" outlineLevel="0" collapsed="false">
      <c r="A8" s="8" t="s">
        <v>60</v>
      </c>
      <c r="B8" s="17" t="n">
        <f aca="false">IF($A8="","",COUNTIF('Órdenes de Ingreso'!$K:$K,$A8))</f>
        <v>2</v>
      </c>
      <c r="C8" s="18" t="n">
        <f aca="false">IF($A8="","",SUMIF('Órdenes de Ingreso'!$K:$K,$A8,'Órdenes de Ingreso'!$M:$M))</f>
        <v>162.1</v>
      </c>
      <c r="D8" s="18" t="n">
        <f aca="false">IF($A8="","",SUMIF(Cortes!$B:$B,$A8,Cortes!$D:$D))</f>
        <v>0</v>
      </c>
      <c r="E8" s="18" t="n">
        <f aca="false">IF($A8="","",$C8-$D8)</f>
        <v>162.1</v>
      </c>
    </row>
    <row r="9" customFormat="false" ht="15" hidden="false" customHeight="true" outlineLevel="0" collapsed="false">
      <c r="A9" s="8" t="s">
        <v>70</v>
      </c>
      <c r="B9" s="17" t="n">
        <f aca="false">IF($A9="","",COUNTIF('Órdenes de Ingreso'!$K:$K,$A9))</f>
        <v>1</v>
      </c>
      <c r="C9" s="18" t="n">
        <f aca="false">IF($A9="","",SUMIF('Órdenes de Ingreso'!$K:$K,$A9,'Órdenes de Ingreso'!$M:$M))</f>
        <v>307.7</v>
      </c>
      <c r="D9" s="18" t="n">
        <f aca="false">IF($A9="","",SUMIF(Cortes!$B:$B,$A9,Cortes!$D:$D))</f>
        <v>0</v>
      </c>
      <c r="E9" s="18" t="n">
        <f aca="false">IF($A9="","",$C9-$D9)</f>
        <v>307.7</v>
      </c>
    </row>
    <row r="10" customFormat="false" ht="15" hidden="false" customHeight="true" outlineLevel="0" collapsed="false">
      <c r="A10" s="8"/>
      <c r="B10" s="17" t="str">
        <f aca="false">IF($A10="","",COUNTIF('Órdenes de Ingreso'!$K:$K,$A10))</f>
        <v/>
      </c>
      <c r="C10" s="18" t="str">
        <f aca="false">IF($A10="","",SUMIF('Órdenes de Ingreso'!$K:$K,$A10,'Órdenes de Ingreso'!$M:$M))</f>
        <v/>
      </c>
      <c r="D10" s="18" t="str">
        <f aca="false">IF($A10="","",SUMIF(Cortes!$B:$B,$A10,Cortes!$D:$D))</f>
        <v/>
      </c>
      <c r="E10" s="18" t="str">
        <f aca="false">IF($A10="","",$C10-$D10)</f>
        <v/>
      </c>
    </row>
    <row r="11" customFormat="false" ht="15" hidden="false" customHeight="true" outlineLevel="0" collapsed="false">
      <c r="A11" s="8"/>
      <c r="B11" s="17" t="str">
        <f aca="false">IF($A11="","",COUNTIF('Órdenes de Ingreso'!$K:$K,$A11))</f>
        <v/>
      </c>
      <c r="C11" s="18" t="str">
        <f aca="false">IF($A11="","",SUMIF('Órdenes de Ingreso'!$K:$K,$A11,'Órdenes de Ingreso'!$M:$M))</f>
        <v/>
      </c>
      <c r="D11" s="18" t="str">
        <f aca="false">IF($A11="","",SUMIF(Cortes!$B:$B,$A11,Cortes!$D:$D))</f>
        <v/>
      </c>
      <c r="E11" s="18" t="str">
        <f aca="false">IF($A11="","",$C11-$D11)</f>
        <v/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B3" type="list">
      <formula1>Inventario!$A$7:$A$11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6"/>
  </cols>
  <sheetData>
    <row r="1" customFormat="false" ht="31.5" hidden="false" customHeight="true" outlineLevel="0" collapsed="false">
      <c r="A1" s="6" t="s">
        <v>26</v>
      </c>
      <c r="B1" s="6" t="s">
        <v>79</v>
      </c>
      <c r="C1" s="6" t="s">
        <v>80</v>
      </c>
      <c r="D1" s="6" t="s">
        <v>81</v>
      </c>
      <c r="E1" s="6" t="s">
        <v>31</v>
      </c>
      <c r="F1" s="6" t="s">
        <v>82</v>
      </c>
    </row>
    <row r="2" customFormat="false" ht="15" hidden="false" customHeight="true" outlineLevel="0" collapsed="false">
      <c r="A2" s="8" t="s">
        <v>83</v>
      </c>
      <c r="B2" s="8" t="s">
        <v>47</v>
      </c>
      <c r="C2" s="8" t="s">
        <v>84</v>
      </c>
      <c r="D2" s="19" t="n">
        <v>30</v>
      </c>
      <c r="E2" s="8"/>
      <c r="F2" s="8" t="s">
        <v>85</v>
      </c>
    </row>
    <row r="3" customFormat="false" ht="15" hidden="false" customHeight="true" outlineLevel="0" collapsed="false">
      <c r="A3" s="8"/>
      <c r="B3" s="8"/>
      <c r="C3" s="8"/>
      <c r="D3" s="19"/>
      <c r="E3" s="8"/>
      <c r="F3" s="8"/>
    </row>
    <row r="4" customFormat="false" ht="15" hidden="false" customHeight="true" outlineLevel="0" collapsed="false">
      <c r="A4" s="8"/>
      <c r="B4" s="8"/>
      <c r="C4" s="8"/>
      <c r="D4" s="19"/>
      <c r="E4" s="8"/>
      <c r="F4" s="8"/>
    </row>
    <row r="5" customFormat="false" ht="15" hidden="false" customHeight="true" outlineLevel="0" collapsed="false">
      <c r="A5" s="8"/>
      <c r="B5" s="8"/>
      <c r="C5" s="8"/>
      <c r="D5" s="19"/>
      <c r="E5" s="8"/>
      <c r="F5" s="8"/>
    </row>
    <row r="6" customFormat="false" ht="15" hidden="false" customHeight="true" outlineLevel="0" collapsed="false">
      <c r="A6" s="8"/>
      <c r="B6" s="8"/>
      <c r="C6" s="8"/>
      <c r="D6" s="19"/>
      <c r="E6" s="8"/>
      <c r="F6" s="8"/>
    </row>
    <row r="7" customFormat="false" ht="15" hidden="false" customHeight="true" outlineLevel="0" collapsed="false">
      <c r="A7" s="8"/>
      <c r="B7" s="8"/>
      <c r="C7" s="8"/>
      <c r="D7" s="19"/>
      <c r="E7" s="8"/>
      <c r="F7" s="8"/>
    </row>
    <row r="8" customFormat="false" ht="15" hidden="false" customHeight="true" outlineLevel="0" collapsed="false">
      <c r="A8" s="8"/>
      <c r="B8" s="8"/>
      <c r="C8" s="8"/>
      <c r="D8" s="19"/>
      <c r="E8" s="8"/>
      <c r="F8" s="8"/>
    </row>
    <row r="9" customFormat="false" ht="15" hidden="false" customHeight="true" outlineLevel="0" collapsed="false">
      <c r="A9" s="8"/>
      <c r="B9" s="8"/>
      <c r="C9" s="8"/>
      <c r="D9" s="19"/>
      <c r="E9" s="8"/>
      <c r="F9" s="8"/>
    </row>
    <row r="10" customFormat="false" ht="15" hidden="false" customHeight="true" outlineLevel="0" collapsed="false">
      <c r="A10" s="8"/>
      <c r="B10" s="8"/>
      <c r="C10" s="8"/>
      <c r="D10" s="19"/>
      <c r="E10" s="8"/>
      <c r="F10" s="8"/>
    </row>
    <row r="11" customFormat="false" ht="15" hidden="false" customHeight="true" outlineLevel="0" collapsed="false">
      <c r="A11" s="8"/>
      <c r="B11" s="8"/>
      <c r="C11" s="8"/>
      <c r="D11" s="19"/>
      <c r="E11" s="8"/>
      <c r="F11" s="8"/>
    </row>
  </sheetData>
  <dataValidations count="1">
    <dataValidation allowBlank="true" errorStyle="stop" operator="between" showDropDown="false" showErrorMessage="false" showInputMessage="false" sqref="B2:B500" type="list">
      <formula1>Inventario!$A$7:$A$11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6"/>
  </cols>
  <sheetData>
    <row r="1" customFormat="false" ht="31.5" hidden="false" customHeight="true" outlineLevel="0" collapsed="false">
      <c r="A1" s="20" t="s">
        <v>86</v>
      </c>
      <c r="B1" s="20"/>
      <c r="C1" s="20"/>
      <c r="D1" s="20"/>
      <c r="E1" s="20"/>
      <c r="F1" s="20"/>
      <c r="G1" s="20"/>
    </row>
    <row r="2" customFormat="false" ht="15" hidden="false" customHeight="true" outlineLevel="0" collapsed="false">
      <c r="A2" s="21" t="s">
        <v>87</v>
      </c>
      <c r="B2" s="8" t="s">
        <v>88</v>
      </c>
      <c r="C2" s="21" t="s">
        <v>89</v>
      </c>
      <c r="D2" s="22" t="s">
        <v>90</v>
      </c>
      <c r="E2" s="22"/>
      <c r="F2" s="21" t="s">
        <v>91</v>
      </c>
      <c r="G2" s="8"/>
    </row>
    <row r="3" customFormat="false" ht="15" hidden="false" customHeight="true" outlineLevel="0" collapsed="false">
      <c r="A3" s="21" t="s">
        <v>92</v>
      </c>
      <c r="B3" s="8" t="s">
        <v>93</v>
      </c>
      <c r="C3" s="21" t="s">
        <v>94</v>
      </c>
      <c r="D3" s="8" t="s">
        <v>95</v>
      </c>
      <c r="F3" s="21" t="s">
        <v>96</v>
      </c>
      <c r="G3" s="23" t="n">
        <v>0.19</v>
      </c>
    </row>
    <row r="5" customFormat="false" ht="15" hidden="false" customHeight="true" outlineLevel="0" collapsed="false">
      <c r="A5" s="24" t="s">
        <v>97</v>
      </c>
      <c r="B5" s="24" t="s">
        <v>98</v>
      </c>
      <c r="C5" s="24" t="s">
        <v>99</v>
      </c>
      <c r="D5" s="24" t="s">
        <v>100</v>
      </c>
      <c r="E5" s="24" t="s">
        <v>101</v>
      </c>
      <c r="F5" s="24" t="s">
        <v>102</v>
      </c>
      <c r="G5" s="24" t="s">
        <v>103</v>
      </c>
    </row>
    <row r="6" customFormat="false" ht="15" hidden="false" customHeight="true" outlineLevel="0" collapsed="false">
      <c r="A6" s="25" t="s">
        <v>104</v>
      </c>
      <c r="B6" s="26" t="s">
        <v>105</v>
      </c>
      <c r="C6" s="9" t="n">
        <v>15900</v>
      </c>
      <c r="D6" s="10" t="n">
        <v>1</v>
      </c>
      <c r="E6" s="27" t="n">
        <f aca="false">ROUND(F6*$G$3,0)</f>
        <v>3021</v>
      </c>
      <c r="F6" s="27" t="n">
        <f aca="false">C6*D6</f>
        <v>15900</v>
      </c>
      <c r="G6" s="27" t="n">
        <f aca="false">F6+E6</f>
        <v>18921</v>
      </c>
    </row>
    <row r="7" customFormat="false" ht="15" hidden="false" customHeight="true" outlineLevel="0" collapsed="false">
      <c r="A7" s="25"/>
      <c r="B7" s="26" t="s">
        <v>106</v>
      </c>
      <c r="C7" s="9" t="n">
        <v>0</v>
      </c>
      <c r="D7" s="10" t="n">
        <v>1</v>
      </c>
      <c r="E7" s="27" t="n">
        <f aca="false">ROUND(F7*$G$3,0)</f>
        <v>0</v>
      </c>
      <c r="F7" s="27" t="n">
        <f aca="false">C7*D7</f>
        <v>0</v>
      </c>
      <c r="G7" s="27" t="n">
        <f aca="false">F7+E7</f>
        <v>0</v>
      </c>
    </row>
    <row r="8" customFormat="false" ht="15" hidden="false" customHeight="true" outlineLevel="0" collapsed="false">
      <c r="A8" s="25" t="s">
        <v>107</v>
      </c>
      <c r="B8" s="26" t="s">
        <v>92</v>
      </c>
      <c r="C8" s="9" t="n">
        <v>15900</v>
      </c>
      <c r="D8" s="10" t="n">
        <v>1.07</v>
      </c>
      <c r="E8" s="27" t="n">
        <f aca="false">ROUND(F8*$G$3,0)</f>
        <v>3232</v>
      </c>
      <c r="F8" s="27" t="n">
        <f aca="false">C8*D8</f>
        <v>17013</v>
      </c>
      <c r="G8" s="27" t="n">
        <f aca="false">F8+E8</f>
        <v>20245</v>
      </c>
    </row>
    <row r="9" customFormat="false" ht="15" hidden="false" customHeight="true" outlineLevel="0" collapsed="false">
      <c r="A9" s="25"/>
      <c r="B9" s="26" t="s">
        <v>108</v>
      </c>
      <c r="C9" s="9" t="n">
        <v>4400</v>
      </c>
      <c r="D9" s="10" t="n">
        <v>0.15</v>
      </c>
      <c r="E9" s="27" t="n">
        <f aca="false">ROUND(F9*$G$3,0)</f>
        <v>125</v>
      </c>
      <c r="F9" s="27" t="n">
        <f aca="false">C9*D9</f>
        <v>660</v>
      </c>
      <c r="G9" s="27" t="n">
        <f aca="false">F9+E9</f>
        <v>785</v>
      </c>
    </row>
    <row r="10" customFormat="false" ht="15" hidden="false" customHeight="true" outlineLevel="0" collapsed="false">
      <c r="A10" s="25"/>
      <c r="B10" s="26" t="s">
        <v>109</v>
      </c>
      <c r="C10" s="9" t="n">
        <v>0</v>
      </c>
      <c r="D10" s="10" t="n">
        <v>1</v>
      </c>
      <c r="E10" s="27" t="n">
        <f aca="false">ROUND(F10*$G$3,0)</f>
        <v>0</v>
      </c>
      <c r="F10" s="27" t="n">
        <f aca="false">C10*D10</f>
        <v>0</v>
      </c>
      <c r="G10" s="27" t="n">
        <f aca="false">F10+E10</f>
        <v>0</v>
      </c>
    </row>
    <row r="11" customFormat="false" ht="15" hidden="false" customHeight="true" outlineLevel="0" collapsed="false">
      <c r="A11" s="25" t="s">
        <v>110</v>
      </c>
      <c r="B11" s="26" t="s">
        <v>111</v>
      </c>
      <c r="C11" s="9" t="n">
        <v>0</v>
      </c>
      <c r="D11" s="10" t="n">
        <v>1</v>
      </c>
      <c r="E11" s="27" t="n">
        <f aca="false">ROUND(F11*$G$3,0)</f>
        <v>0</v>
      </c>
      <c r="F11" s="27" t="n">
        <f aca="false">C11*D11</f>
        <v>0</v>
      </c>
      <c r="G11" s="27" t="n">
        <f aca="false">F11+E11</f>
        <v>0</v>
      </c>
    </row>
    <row r="12" customFormat="false" ht="15" hidden="false" customHeight="true" outlineLevel="0" collapsed="false">
      <c r="A12" s="25"/>
      <c r="B12" s="26" t="s">
        <v>112</v>
      </c>
      <c r="C12" s="9" t="n">
        <v>1200</v>
      </c>
      <c r="D12" s="10" t="n">
        <v>1</v>
      </c>
      <c r="E12" s="27" t="n">
        <f aca="false">ROUND(F12*$G$3,0)</f>
        <v>228</v>
      </c>
      <c r="F12" s="27" t="n">
        <f aca="false">C12*D12</f>
        <v>1200</v>
      </c>
      <c r="G12" s="27" t="n">
        <f aca="false">F12+E12</f>
        <v>1428</v>
      </c>
    </row>
    <row r="13" customFormat="false" ht="15" hidden="false" customHeight="true" outlineLevel="0" collapsed="false">
      <c r="A13" s="25" t="s">
        <v>113</v>
      </c>
      <c r="B13" s="26" t="s">
        <v>114</v>
      </c>
      <c r="C13" s="9" t="n">
        <v>10700</v>
      </c>
      <c r="D13" s="10" t="n">
        <v>1</v>
      </c>
      <c r="E13" s="27" t="n">
        <f aca="false">ROUND(F13*$G$3,0)</f>
        <v>2033</v>
      </c>
      <c r="F13" s="27" t="n">
        <f aca="false">C13*D13</f>
        <v>10700</v>
      </c>
      <c r="G13" s="27" t="n">
        <f aca="false">F13+E13</f>
        <v>12733</v>
      </c>
    </row>
    <row r="14" customFormat="false" ht="15" hidden="false" customHeight="true" outlineLevel="0" collapsed="false">
      <c r="A14" s="25" t="s">
        <v>115</v>
      </c>
      <c r="B14" s="26" t="s">
        <v>116</v>
      </c>
      <c r="C14" s="9" t="n">
        <v>700</v>
      </c>
      <c r="D14" s="10" t="n">
        <v>1</v>
      </c>
      <c r="E14" s="27" t="n">
        <f aca="false">ROUND(F14*$G$3,0)</f>
        <v>133</v>
      </c>
      <c r="F14" s="27" t="n">
        <f aca="false">C14*D14</f>
        <v>700</v>
      </c>
      <c r="G14" s="27" t="n">
        <f aca="false">F14+E14</f>
        <v>833</v>
      </c>
    </row>
    <row r="15" customFormat="false" ht="15" hidden="false" customHeight="true" outlineLevel="0" collapsed="false">
      <c r="A15" s="25"/>
      <c r="B15" s="26" t="s">
        <v>117</v>
      </c>
      <c r="C15" s="9" t="n">
        <v>87</v>
      </c>
      <c r="D15" s="10" t="n">
        <v>1</v>
      </c>
      <c r="E15" s="27" t="n">
        <f aca="false">ROUND(F15*$G$3,0)</f>
        <v>17</v>
      </c>
      <c r="F15" s="27" t="n">
        <f aca="false">C15*D15</f>
        <v>87</v>
      </c>
      <c r="G15" s="27" t="n">
        <f aca="false">F15+E15</f>
        <v>104</v>
      </c>
    </row>
    <row r="16" customFormat="false" ht="15" hidden="false" customHeight="true" outlineLevel="0" collapsed="false">
      <c r="A16" s="25"/>
      <c r="B16" s="26" t="s">
        <v>118</v>
      </c>
      <c r="C16" s="9" t="n">
        <v>0</v>
      </c>
      <c r="D16" s="10" t="n">
        <v>0.07</v>
      </c>
      <c r="E16" s="27" t="n">
        <f aca="false">ROUND(F16*$G$3,0)</f>
        <v>0</v>
      </c>
      <c r="F16" s="27" t="n">
        <f aca="false">C16*D16</f>
        <v>0</v>
      </c>
      <c r="G16" s="27" t="n">
        <f aca="false">F16+E16</f>
        <v>0</v>
      </c>
    </row>
    <row r="17" customFormat="false" ht="15" hidden="false" customHeight="true" outlineLevel="0" collapsed="false">
      <c r="A17" s="25" t="s">
        <v>113</v>
      </c>
      <c r="B17" s="26" t="s">
        <v>119</v>
      </c>
      <c r="C17" s="9" t="n">
        <v>7000</v>
      </c>
      <c r="D17" s="10" t="n">
        <v>1</v>
      </c>
      <c r="E17" s="27" t="n">
        <f aca="false">ROUND(F17*$G$3,0)</f>
        <v>1330</v>
      </c>
      <c r="F17" s="27" t="n">
        <f aca="false">C17*D17</f>
        <v>7000</v>
      </c>
      <c r="G17" s="27" t="n">
        <f aca="false">F17+E17</f>
        <v>8330</v>
      </c>
    </row>
    <row r="18" customFormat="false" ht="15" hidden="false" customHeight="true" outlineLevel="0" collapsed="false">
      <c r="A18" s="25"/>
      <c r="B18" s="26" t="s">
        <v>120</v>
      </c>
      <c r="C18" s="9" t="n">
        <v>2100</v>
      </c>
      <c r="D18" s="10" t="n">
        <v>1</v>
      </c>
      <c r="E18" s="27" t="n">
        <f aca="false">ROUND(F18*$G$3,0)</f>
        <v>399</v>
      </c>
      <c r="F18" s="27" t="n">
        <f aca="false">C18*D18</f>
        <v>2100</v>
      </c>
      <c r="G18" s="27" t="n">
        <f aca="false">F18+E18</f>
        <v>2499</v>
      </c>
    </row>
    <row r="19" customFormat="false" ht="15" hidden="false" customHeight="true" outlineLevel="0" collapsed="false">
      <c r="A19" s="25" t="s">
        <v>121</v>
      </c>
      <c r="B19" s="26" t="s">
        <v>122</v>
      </c>
      <c r="C19" s="9" t="n">
        <v>20</v>
      </c>
      <c r="D19" s="10" t="n">
        <v>1</v>
      </c>
      <c r="E19" s="27" t="n">
        <f aca="false">ROUND(F19*$G$3,0)</f>
        <v>4</v>
      </c>
      <c r="F19" s="27" t="n">
        <f aca="false">C19*D19</f>
        <v>20</v>
      </c>
      <c r="G19" s="27" t="n">
        <f aca="false">F19+E19</f>
        <v>24</v>
      </c>
    </row>
    <row r="20" customFormat="false" ht="15" hidden="false" customHeight="true" outlineLevel="0" collapsed="false">
      <c r="A20" s="25"/>
      <c r="B20" s="26" t="s">
        <v>123</v>
      </c>
      <c r="C20" s="9" t="n">
        <v>123</v>
      </c>
      <c r="D20" s="10" t="n">
        <v>1</v>
      </c>
      <c r="E20" s="27" t="n">
        <f aca="false">ROUND(F20*$G$3,0)</f>
        <v>23</v>
      </c>
      <c r="F20" s="27" t="n">
        <f aca="false">C20*D20</f>
        <v>123</v>
      </c>
      <c r="G20" s="27" t="n">
        <f aca="false">F20+E20</f>
        <v>146</v>
      </c>
    </row>
    <row r="21" customFormat="false" ht="15" hidden="false" customHeight="true" outlineLevel="0" collapsed="false">
      <c r="A21" s="25"/>
      <c r="B21" s="26" t="s">
        <v>124</v>
      </c>
      <c r="C21" s="9" t="n">
        <v>10</v>
      </c>
      <c r="D21" s="10" t="n">
        <v>1</v>
      </c>
      <c r="E21" s="27" t="n">
        <f aca="false">ROUND(F21*$G$3,0)</f>
        <v>2</v>
      </c>
      <c r="F21" s="27" t="n">
        <f aca="false">C21*D21</f>
        <v>10</v>
      </c>
      <c r="G21" s="27" t="n">
        <f aca="false">F21+E21</f>
        <v>12</v>
      </c>
    </row>
    <row r="22" customFormat="false" ht="15" hidden="false" customHeight="true" outlineLevel="0" collapsed="false">
      <c r="A22" s="25"/>
      <c r="B22" s="26" t="s">
        <v>125</v>
      </c>
      <c r="C22" s="9" t="n">
        <v>180</v>
      </c>
      <c r="D22" s="10" t="n">
        <v>1</v>
      </c>
      <c r="E22" s="27" t="n">
        <f aca="false">ROUND(F22*$G$3,0)</f>
        <v>34</v>
      </c>
      <c r="F22" s="27" t="n">
        <f aca="false">C22*D22</f>
        <v>180</v>
      </c>
      <c r="G22" s="27" t="n">
        <f aca="false">F22+E22</f>
        <v>214</v>
      </c>
    </row>
    <row r="23" customFormat="false" ht="15" hidden="false" customHeight="true" outlineLevel="0" collapsed="false">
      <c r="A23" s="25" t="s">
        <v>126</v>
      </c>
      <c r="B23" s="26" t="s">
        <v>127</v>
      </c>
      <c r="C23" s="9" t="n">
        <v>278</v>
      </c>
      <c r="D23" s="10" t="n">
        <v>1</v>
      </c>
      <c r="E23" s="27" t="n">
        <f aca="false">ROUND(F23*$G$3,0)</f>
        <v>53</v>
      </c>
      <c r="F23" s="27" t="n">
        <f aca="false">C23*D23</f>
        <v>278</v>
      </c>
      <c r="G23" s="27" t="n">
        <f aca="false">F23+E23</f>
        <v>331</v>
      </c>
    </row>
    <row r="24" customFormat="false" ht="15" hidden="false" customHeight="true" outlineLevel="0" collapsed="false">
      <c r="A24" s="25"/>
      <c r="B24" s="26" t="s">
        <v>128</v>
      </c>
      <c r="C24" s="9" t="n">
        <v>111</v>
      </c>
      <c r="D24" s="10" t="n">
        <v>2</v>
      </c>
      <c r="E24" s="27" t="n">
        <f aca="false">ROUND(F24*$G$3,0)</f>
        <v>42</v>
      </c>
      <c r="F24" s="27" t="n">
        <f aca="false">C24*D24</f>
        <v>222</v>
      </c>
      <c r="G24" s="27" t="n">
        <f aca="false">F24+E24</f>
        <v>264</v>
      </c>
    </row>
    <row r="25" customFormat="false" ht="15" hidden="false" customHeight="true" outlineLevel="0" collapsed="false">
      <c r="A25" s="25"/>
      <c r="B25" s="26" t="s">
        <v>129</v>
      </c>
      <c r="C25" s="9" t="n">
        <v>700</v>
      </c>
      <c r="D25" s="10" t="n">
        <v>1</v>
      </c>
      <c r="E25" s="27" t="n">
        <f aca="false">ROUND(F25*$G$3,0)</f>
        <v>133</v>
      </c>
      <c r="F25" s="27" t="n">
        <f aca="false">C25*D25</f>
        <v>700</v>
      </c>
      <c r="G25" s="27" t="n">
        <f aca="false">F25+E25</f>
        <v>833</v>
      </c>
    </row>
    <row r="26" customFormat="false" ht="15" hidden="false" customHeight="true" outlineLevel="0" collapsed="false">
      <c r="A26" s="25"/>
      <c r="B26" s="26" t="s">
        <v>130</v>
      </c>
      <c r="C26" s="9" t="n">
        <v>0</v>
      </c>
      <c r="D26" s="10" t="n">
        <v>1</v>
      </c>
      <c r="E26" s="27" t="n">
        <f aca="false">ROUND(F26*$G$3,0)</f>
        <v>0</v>
      </c>
      <c r="F26" s="27" t="n">
        <f aca="false">C26*D26</f>
        <v>0</v>
      </c>
      <c r="G26" s="27" t="n">
        <f aca="false">F26+E26</f>
        <v>0</v>
      </c>
    </row>
    <row r="27" customFormat="false" ht="15" hidden="false" customHeight="true" outlineLevel="0" collapsed="false">
      <c r="A27" s="25"/>
      <c r="B27" s="26" t="s">
        <v>131</v>
      </c>
      <c r="C27" s="9" t="n">
        <v>0</v>
      </c>
      <c r="D27" s="10" t="n">
        <v>1</v>
      </c>
      <c r="E27" s="27" t="n">
        <f aca="false">ROUND(F27*$G$3,0)</f>
        <v>0</v>
      </c>
      <c r="F27" s="27" t="n">
        <f aca="false">C27*D27</f>
        <v>0</v>
      </c>
      <c r="G27" s="27" t="n">
        <f aca="false">F27+E27</f>
        <v>0</v>
      </c>
    </row>
    <row r="28" customFormat="false" ht="15" hidden="false" customHeight="true" outlineLevel="0" collapsed="false">
      <c r="A28" s="25" t="s">
        <v>132</v>
      </c>
      <c r="B28" s="26" t="s">
        <v>132</v>
      </c>
      <c r="C28" s="9" t="n">
        <v>11000</v>
      </c>
      <c r="D28" s="10" t="n">
        <v>1</v>
      </c>
      <c r="E28" s="27" t="n">
        <f aca="false">ROUND(F28*$G$3,0)</f>
        <v>2090</v>
      </c>
      <c r="F28" s="27" t="n">
        <f aca="false">C28*D28</f>
        <v>11000</v>
      </c>
      <c r="G28" s="27" t="n">
        <f aca="false">F28+E28</f>
        <v>13090</v>
      </c>
    </row>
    <row r="29" customFormat="false" ht="15" hidden="false" customHeight="true" outlineLevel="0" collapsed="false">
      <c r="A29" s="28"/>
      <c r="B29" s="29" t="s">
        <v>133</v>
      </c>
      <c r="C29" s="28"/>
      <c r="D29" s="28"/>
      <c r="E29" s="28"/>
      <c r="F29" s="30" t="n">
        <f aca="false">SUM(F6:F28)</f>
        <v>67893</v>
      </c>
      <c r="G29" s="30" t="n">
        <f aca="false">SUM(G6:G28)</f>
        <v>80792</v>
      </c>
    </row>
    <row r="31" customFormat="false" ht="15" hidden="false" customHeight="true" outlineLevel="0" collapsed="false">
      <c r="A31" s="31" t="s">
        <v>134</v>
      </c>
      <c r="B31" s="32"/>
      <c r="C31" s="32"/>
      <c r="D31" s="32"/>
      <c r="E31" s="32"/>
      <c r="F31" s="32"/>
      <c r="G31" s="32"/>
    </row>
    <row r="32" customFormat="false" ht="15" hidden="false" customHeight="true" outlineLevel="0" collapsed="false">
      <c r="A32" s="21" t="s">
        <v>135</v>
      </c>
      <c r="B32" s="33" t="n">
        <f aca="false">F29</f>
        <v>67893</v>
      </c>
      <c r="C32" s="32"/>
      <c r="D32" s="32"/>
      <c r="E32" s="32"/>
      <c r="F32" s="32"/>
      <c r="G32" s="32"/>
    </row>
    <row r="33" customFormat="false" ht="21.75" hidden="false" customHeight="true" outlineLevel="0" collapsed="false">
      <c r="A33" s="24" t="s">
        <v>136</v>
      </c>
      <c r="B33" s="24" t="s">
        <v>137</v>
      </c>
      <c r="C33" s="24" t="s">
        <v>138</v>
      </c>
      <c r="D33" s="24" t="s">
        <v>139</v>
      </c>
      <c r="E33" s="24" t="s">
        <v>140</v>
      </c>
      <c r="F33" s="32"/>
      <c r="G33" s="32"/>
    </row>
    <row r="34" customFormat="false" ht="15" hidden="false" customHeight="true" outlineLevel="0" collapsed="false">
      <c r="A34" s="23" t="n">
        <v>0.5</v>
      </c>
      <c r="B34" s="34" t="n">
        <f aca="false">ROUND($B$32*(1+A34)*(1+$G$3),0)</f>
        <v>121189</v>
      </c>
      <c r="C34" s="35" t="n">
        <f aca="false">ROUND(B34/(1+$G$3),0)</f>
        <v>101839</v>
      </c>
      <c r="D34" s="34" t="n">
        <f aca="false">B34-C34</f>
        <v>19350</v>
      </c>
      <c r="E34" s="36" t="n">
        <f aca="false">IF(C34=0,0,(C34-$B$32)/C34)</f>
        <v>0.33333006019305</v>
      </c>
      <c r="F34" s="32"/>
      <c r="G34" s="32"/>
    </row>
    <row r="35" customFormat="false" ht="15" hidden="false" customHeight="true" outlineLevel="0" collapsed="false">
      <c r="A35" s="23" t="n">
        <v>0.65</v>
      </c>
      <c r="B35" s="34" t="n">
        <f aca="false">ROUND($B$32*(1+A35)*(1+$G$3),0)</f>
        <v>133308</v>
      </c>
      <c r="C35" s="35" t="n">
        <f aca="false">ROUND(B35/(1+$G$3),0)</f>
        <v>112024</v>
      </c>
      <c r="D35" s="34" t="n">
        <f aca="false">B35-C35</f>
        <v>21284</v>
      </c>
      <c r="E35" s="36" t="n">
        <f aca="false">IF(C35=0,0,(C35-$B$32)/C35)</f>
        <v>0.393942369492252</v>
      </c>
      <c r="F35" s="32"/>
      <c r="G35" s="32"/>
    </row>
    <row r="36" customFormat="false" ht="15" hidden="false" customHeight="true" outlineLevel="0" collapsed="false">
      <c r="A36" s="23" t="n">
        <v>0.8</v>
      </c>
      <c r="B36" s="34" t="n">
        <f aca="false">ROUND($B$32*(1+A36)*(1+$G$3),0)</f>
        <v>145427</v>
      </c>
      <c r="C36" s="35" t="n">
        <f aca="false">ROUND(B36/(1+$G$3),0)</f>
        <v>122208</v>
      </c>
      <c r="D36" s="34" t="n">
        <f aca="false">B36-C36</f>
        <v>23219</v>
      </c>
      <c r="E36" s="36" t="n">
        <f aca="false">IF(C36=0,0,(C36-$B$32)/C36)</f>
        <v>0.444447172034564</v>
      </c>
      <c r="F36" s="32"/>
      <c r="G36" s="32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2"/>
    </row>
    <row r="38" customFormat="false" ht="23.25" hidden="false" customHeight="true" outlineLevel="0" collapsed="false">
      <c r="A38" s="21" t="s">
        <v>141</v>
      </c>
      <c r="B38" s="8"/>
      <c r="C38" s="21" t="s">
        <v>142</v>
      </c>
      <c r="D38" s="8"/>
      <c r="F38" s="21" t="s">
        <v>143</v>
      </c>
      <c r="G38" s="8"/>
    </row>
    <row r="40" customFormat="false" ht="15" hidden="false" customHeight="true" outlineLevel="0" collapsed="false">
      <c r="A40" s="37" t="s">
        <v>144</v>
      </c>
      <c r="B40" s="37"/>
      <c r="C40" s="37"/>
      <c r="D40" s="37"/>
      <c r="E40" s="37"/>
      <c r="F40" s="37"/>
      <c r="G40" s="37"/>
    </row>
  </sheetData>
  <mergeCells count="10">
    <mergeCell ref="A1:G1"/>
    <mergeCell ref="D2:E2"/>
    <mergeCell ref="A6:A7"/>
    <mergeCell ref="A8:A10"/>
    <mergeCell ref="A11:A12"/>
    <mergeCell ref="A14:A16"/>
    <mergeCell ref="A17:A18"/>
    <mergeCell ref="A19:A22"/>
    <mergeCell ref="A23:A27"/>
    <mergeCell ref="A40:G40"/>
  </mergeCells>
  <dataValidations count="1">
    <dataValidation allowBlank="true" errorStyle="stop" operator="between" showDropDown="false" showErrorMessage="false" showInputMessage="false" sqref="B38" type="list">
      <formula1>"borrador,autorizada"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7"/>
    <col collapsed="false" customWidth="true" hidden="false" outlineLevel="0" max="8" min="8" style="1" width="15"/>
    <col collapsed="false" customWidth="true" hidden="false" outlineLevel="0" max="9" min="9" style="1" width="18"/>
  </cols>
  <sheetData>
    <row r="1" customFormat="false" ht="31.5" hidden="false" customHeight="true" outlineLevel="0" collapsed="false">
      <c r="A1" s="6" t="s">
        <v>145</v>
      </c>
      <c r="B1" s="6" t="s">
        <v>146</v>
      </c>
      <c r="C1" s="6" t="s">
        <v>147</v>
      </c>
      <c r="D1" s="6" t="s">
        <v>148</v>
      </c>
      <c r="E1" s="6" t="s">
        <v>149</v>
      </c>
      <c r="F1" s="6" t="s">
        <v>150</v>
      </c>
      <c r="G1" s="6" t="s">
        <v>151</v>
      </c>
      <c r="H1" s="6" t="s">
        <v>152</v>
      </c>
      <c r="I1" s="6" t="s">
        <v>153</v>
      </c>
    </row>
    <row r="2" customFormat="false" ht="15" hidden="false" customHeight="true" outlineLevel="0" collapsed="false">
      <c r="A2" s="38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6" min="3" style="1" width="16"/>
  </cols>
  <sheetData>
    <row r="1" customFormat="false" ht="33.75" hidden="false" customHeight="true" outlineLevel="0" collapsed="false">
      <c r="A1" s="20" t="s">
        <v>155</v>
      </c>
      <c r="B1" s="20"/>
      <c r="C1" s="20"/>
      <c r="D1" s="20"/>
      <c r="E1" s="20"/>
      <c r="F1" s="20"/>
    </row>
    <row r="2" customFormat="false" ht="15" hidden="false" customHeight="true" outlineLevel="0" collapsed="false">
      <c r="A2" s="39" t="s">
        <v>156</v>
      </c>
      <c r="B2" s="39"/>
      <c r="C2" s="39"/>
      <c r="D2" s="39"/>
      <c r="E2" s="39"/>
      <c r="F2" s="39"/>
    </row>
    <row r="4" customFormat="false" ht="19.5" hidden="false" customHeight="true" outlineLevel="0" collapsed="false">
      <c r="A4" s="21" t="s">
        <v>157</v>
      </c>
      <c r="B4" s="8"/>
      <c r="C4" s="21" t="s">
        <v>158</v>
      </c>
      <c r="D4" s="8"/>
    </row>
    <row r="5" customFormat="false" ht="19.5" hidden="false" customHeight="true" outlineLevel="0" collapsed="false">
      <c r="A5" s="21" t="s">
        <v>159</v>
      </c>
      <c r="B5" s="8"/>
      <c r="C5" s="21" t="s">
        <v>160</v>
      </c>
      <c r="D5" s="8"/>
    </row>
    <row r="6" customFormat="false" ht="19.5" hidden="false" customHeight="true" outlineLevel="0" collapsed="false">
      <c r="A6" s="21" t="s">
        <v>161</v>
      </c>
      <c r="B6" s="40" t="s">
        <v>47</v>
      </c>
      <c r="C6" s="21" t="s">
        <v>162</v>
      </c>
      <c r="D6" s="41" t="n">
        <f aca="false">IFERROR(VLOOKUP(B6,Inventario!$A$7:$E$20,5,0),0)</f>
        <v>69</v>
      </c>
    </row>
    <row r="7" customFormat="false" ht="19.5" hidden="false" customHeight="true" outlineLevel="0" collapsed="false">
      <c r="A7" s="21" t="s">
        <v>163</v>
      </c>
      <c r="B7" s="8"/>
      <c r="C7" s="21" t="s">
        <v>164</v>
      </c>
      <c r="D7" s="8"/>
    </row>
    <row r="8" customFormat="false" ht="19.5" hidden="false" customHeight="true" outlineLevel="0" collapsed="false"/>
    <row r="9" customFormat="false" ht="19.5" hidden="false" customHeight="true" outlineLevel="0" collapsed="false">
      <c r="A9" s="42" t="s">
        <v>165</v>
      </c>
    </row>
    <row r="10" customFormat="false" ht="19.5" hidden="false" customHeight="true" outlineLevel="0" collapsed="false">
      <c r="A10" s="43" t="s">
        <v>37</v>
      </c>
      <c r="B10" s="43" t="s">
        <v>28</v>
      </c>
      <c r="C10" s="43" t="s">
        <v>30</v>
      </c>
      <c r="D10" s="43" t="s">
        <v>31</v>
      </c>
      <c r="E10" s="43" t="s">
        <v>81</v>
      </c>
    </row>
    <row r="11" customFormat="false" ht="19.5" hidden="false" customHeight="true" outlineLevel="0" collapsed="false">
      <c r="A11" s="44"/>
      <c r="B11" s="44"/>
      <c r="C11" s="44"/>
      <c r="D11" s="44"/>
      <c r="E11" s="44"/>
    </row>
    <row r="12" customFormat="false" ht="19.5" hidden="false" customHeight="true" outlineLevel="0" collapsed="false">
      <c r="A12" s="44"/>
      <c r="B12" s="44"/>
      <c r="C12" s="44"/>
      <c r="D12" s="44"/>
      <c r="E12" s="44"/>
    </row>
    <row r="13" customFormat="false" ht="19.5" hidden="false" customHeight="true" outlineLevel="0" collapsed="false">
      <c r="A13" s="44"/>
      <c r="B13" s="44"/>
      <c r="C13" s="44"/>
      <c r="D13" s="44"/>
      <c r="E13" s="44"/>
    </row>
    <row r="14" customFormat="false" ht="19.5" hidden="false" customHeight="true" outlineLevel="0" collapsed="false">
      <c r="A14" s="44"/>
      <c r="B14" s="44"/>
      <c r="C14" s="44"/>
      <c r="D14" s="44"/>
      <c r="E14" s="44"/>
    </row>
    <row r="15" customFormat="false" ht="19.5" hidden="false" customHeight="true" outlineLevel="0" collapsed="false"/>
    <row r="16" customFormat="false" ht="19.5" hidden="false" customHeight="true" outlineLevel="0" collapsed="false">
      <c r="A16" s="42" t="s">
        <v>166</v>
      </c>
    </row>
    <row r="17" customFormat="false" ht="19.5" hidden="false" customHeight="true" outlineLevel="0" collapsed="false">
      <c r="A17" s="21" t="s">
        <v>167</v>
      </c>
      <c r="B17" s="8"/>
      <c r="C17" s="21" t="s">
        <v>168</v>
      </c>
      <c r="D17" s="8"/>
    </row>
    <row r="18" customFormat="false" ht="19.5" hidden="false" customHeight="true" outlineLevel="0" collapsed="false">
      <c r="A18" s="21" t="s">
        <v>169</v>
      </c>
      <c r="B18" s="8"/>
      <c r="C18" s="21" t="s">
        <v>170</v>
      </c>
      <c r="D18" s="8"/>
    </row>
    <row r="19" customFormat="false" ht="19.5" hidden="false" customHeight="true" outlineLevel="0" collapsed="false">
      <c r="A19" s="21" t="s">
        <v>171</v>
      </c>
      <c r="B19" s="8"/>
      <c r="C19" s="21" t="s">
        <v>172</v>
      </c>
      <c r="D19" s="8"/>
    </row>
    <row r="20" customFormat="false" ht="19.5" hidden="false" customHeight="true" outlineLevel="0" collapsed="false">
      <c r="A20" s="21" t="s">
        <v>173</v>
      </c>
      <c r="B20" s="8"/>
      <c r="C20" s="21" t="s">
        <v>174</v>
      </c>
      <c r="D20" s="8"/>
    </row>
    <row r="21" customFormat="false" ht="19.5" hidden="false" customHeight="true" outlineLevel="0" collapsed="false"/>
    <row r="22" customFormat="false" ht="19.5" hidden="false" customHeight="true" outlineLevel="0" collapsed="false">
      <c r="A22" s="42" t="s">
        <v>175</v>
      </c>
    </row>
    <row r="23" customFormat="false" ht="19.5" hidden="false" customHeight="true" outlineLevel="0" collapsed="false">
      <c r="A23" s="43" t="s">
        <v>176</v>
      </c>
      <c r="B23" s="43" t="s">
        <v>177</v>
      </c>
      <c r="C23" s="43" t="s">
        <v>178</v>
      </c>
      <c r="D23" s="43" t="s">
        <v>179</v>
      </c>
      <c r="E23" s="43" t="s">
        <v>180</v>
      </c>
      <c r="F23" s="43" t="s">
        <v>181</v>
      </c>
      <c r="G23" s="43" t="s">
        <v>182</v>
      </c>
    </row>
    <row r="24" customFormat="false" ht="19.5" hidden="false" customHeight="true" outlineLevel="0" collapsed="false">
      <c r="A24" s="45"/>
      <c r="B24" s="45"/>
      <c r="C24" s="45"/>
      <c r="D24" s="45"/>
      <c r="E24" s="45"/>
      <c r="F24" s="45"/>
      <c r="G24" s="45"/>
    </row>
    <row r="25" customFormat="false" ht="19.5" hidden="false" customHeight="true" outlineLevel="0" collapsed="false"/>
    <row r="26" customFormat="false" ht="19.5" hidden="false" customHeight="true" outlineLevel="0" collapsed="false">
      <c r="A26" s="42" t="s">
        <v>183</v>
      </c>
    </row>
    <row r="27" customFormat="false" ht="19.5" hidden="false" customHeight="true" outlineLevel="0" collapsed="false">
      <c r="A27" s="46" t="s">
        <v>184</v>
      </c>
      <c r="B27" s="46"/>
      <c r="C27" s="46"/>
      <c r="D27" s="46"/>
      <c r="E27" s="46"/>
      <c r="F27" s="46"/>
    </row>
    <row r="28" customFormat="false" ht="19.5" hidden="false" customHeight="true" outlineLevel="0" collapsed="false">
      <c r="A28" s="46"/>
      <c r="B28" s="46"/>
      <c r="C28" s="46"/>
      <c r="D28" s="46"/>
      <c r="E28" s="46"/>
      <c r="F28" s="46"/>
    </row>
    <row r="29" customFormat="false" ht="19.5" hidden="false" customHeight="true" outlineLevel="0" collapsed="false">
      <c r="A29" s="46"/>
      <c r="B29" s="46"/>
      <c r="C29" s="46"/>
      <c r="D29" s="46"/>
      <c r="E29" s="46"/>
      <c r="F29" s="46"/>
    </row>
    <row r="30" customFormat="false" ht="19.5" hidden="false" customHeight="true" outlineLevel="0" collapsed="false"/>
    <row r="31" customFormat="false" ht="19.5" hidden="false" customHeight="true" outlineLevel="0" collapsed="false">
      <c r="A31" s="21" t="s">
        <v>185</v>
      </c>
      <c r="B31" s="22"/>
      <c r="C31" s="22"/>
      <c r="D31" s="21" t="s">
        <v>186</v>
      </c>
      <c r="E31" s="8"/>
    </row>
  </sheetData>
  <mergeCells count="4">
    <mergeCell ref="A1:F1"/>
    <mergeCell ref="A2:F2"/>
    <mergeCell ref="A27:F29"/>
    <mergeCell ref="B31:C31"/>
  </mergeCells>
  <dataValidations count="2">
    <dataValidation allowBlank="true" errorStyle="stop" operator="between" showDropDown="false" showErrorMessage="false" showInputMessage="false" sqref="B6" type="list">
      <formula1>Inventario!$A$7:$A$11</formula1>
      <formula2>0</formula2>
    </dataValidation>
    <dataValidation allowBlank="true" errorStyle="stop" operator="between" showDropDown="false" showErrorMessage="false" showInputMessage="false" sqref="E31" type="list">
      <formula1>"borrador,autorizada,en_proceso,cortada"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2026-06-27T02:05:52Z</dcterms:created>
  <dc:creator>openpyxl</dc:creator>
  <dc:description/>
  <dc:language>en-US</dc:language>
  <cp:lastModifiedBy/>
  <dcterms:modified xsi:type="dcterms:W3CDTF">2026-06-27T02:27:00Z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